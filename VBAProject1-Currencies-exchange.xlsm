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6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ocuments\VBA\"/>
    </mc:Choice>
  </mc:AlternateContent>
  <bookViews>
    <workbookView xWindow="0" yWindow="0" windowWidth="23040" windowHeight="9780"/>
  </bookViews>
  <sheets>
    <sheet name="Main" sheetId="2" r:id="rId1"/>
    <sheet name="today_rate" sheetId="3" state="hidden" r:id="rId2"/>
    <sheet name="history_days" sheetId="4" state="hidden" r:id="rId3"/>
    <sheet name="plot-15days" sheetId="5" r:id="rId4"/>
    <sheet name="Currencies" sheetId="1" state="hidden" r:id="rId5"/>
  </sheets>
  <definedNames>
    <definedName name="My_Query" localSheetId="4">Currencies!$A$1:$B$58</definedName>
    <definedName name="My_Query" localSheetId="2">history_days!$A$1:$D$107</definedName>
    <definedName name="My_Query" localSheetId="1">today_rate!$A$1:$J$327</definedName>
    <definedName name="My_Query_1" localSheetId="2">history_days!$A$1:$D$107</definedName>
    <definedName name="My_Query_1" localSheetId="1">today_rate!$A$1:$J$327</definedName>
    <definedName name="My_Query_10" localSheetId="2">history_days!$A$1:$D$107</definedName>
    <definedName name="My_Query_10" localSheetId="1">today_rate!$A$1:$D$378</definedName>
    <definedName name="My_Query_11" localSheetId="2">history_days!$A$1:$D$107</definedName>
    <definedName name="My_Query_11" localSheetId="1">today_rate!$A$1:$D$378</definedName>
    <definedName name="My_Query_12" localSheetId="2">history_days!$A$1:$D$107</definedName>
    <definedName name="My_Query_12" localSheetId="1">today_rate!$A$1:$C$187</definedName>
    <definedName name="My_Query_13" localSheetId="2">history_days!$A$1:$D$107</definedName>
    <definedName name="My_Query_13" localSheetId="1">today_rate!$A$1:$D$378</definedName>
    <definedName name="My_Query_14" localSheetId="2">history_days!$A$1:$D$107</definedName>
    <definedName name="My_Query_14" localSheetId="1">today_rate!$A$1:$D$378</definedName>
    <definedName name="My_Query_15" localSheetId="2">history_days!$A$1:$D$107</definedName>
    <definedName name="My_Query_15" localSheetId="1">today_rate!$A$1:$C$187</definedName>
    <definedName name="My_Query_16" localSheetId="2">history_days!$A$1:$D$107</definedName>
    <definedName name="My_Query_16" localSheetId="1">today_rate!$A$1:$D$378</definedName>
    <definedName name="My_Query_17" localSheetId="2">history_days!$A$1:$D$107</definedName>
    <definedName name="My_Query_18" localSheetId="2">history_days!$A$1:$D$107</definedName>
    <definedName name="My_Query_19" localSheetId="2">history_days!$A$1:$D$107</definedName>
    <definedName name="My_Query_2" localSheetId="2">history_days!$A$1:$D$107</definedName>
    <definedName name="My_Query_2" localSheetId="1">today_rate!$A$1:$J$327</definedName>
    <definedName name="My_Query_20" localSheetId="2">history_days!$A$1:$D$107</definedName>
    <definedName name="My_Query_21" localSheetId="2">history_days!$A$1:$D$107</definedName>
    <definedName name="My_Query_22" localSheetId="2">history_days!$A$1:$D$107</definedName>
    <definedName name="My_Query_23" localSheetId="2">history_days!$A$1:$D$107</definedName>
    <definedName name="My_Query_24" localSheetId="2">history_days!$A$1:$D$107</definedName>
    <definedName name="My_Query_25" localSheetId="2">history_days!$A$1:$D$107</definedName>
    <definedName name="My_Query_26" localSheetId="2">history_days!$A$1:$D$107</definedName>
    <definedName name="My_Query_27" localSheetId="2">history_days!$A$1:$D$107</definedName>
    <definedName name="My_Query_28" localSheetId="2">history_days!$A$1:$D$107</definedName>
    <definedName name="My_Query_29" localSheetId="2">history_days!$A$1:$D$107</definedName>
    <definedName name="My_Query_3" localSheetId="2">history_days!$A$1:$D$107</definedName>
    <definedName name="My_Query_3" localSheetId="1">today_rate!$A$1:$J$327</definedName>
    <definedName name="My_Query_35" localSheetId="2">history_days!$A$1:$D$107</definedName>
    <definedName name="My_Query_37" localSheetId="2">history_days!$A$1:$D$107</definedName>
    <definedName name="My_Query_38" localSheetId="2">history_days!$A$1:$D$107</definedName>
    <definedName name="My_Query_39" localSheetId="2">history_days!$A$1:$D$107</definedName>
    <definedName name="My_Query_4" localSheetId="2">history_days!$A$1:$D$107</definedName>
    <definedName name="My_Query_4" localSheetId="1">today_rate!$A$1:$J$327</definedName>
    <definedName name="My_Query_40" localSheetId="2">history_days!$A$1:$D$107</definedName>
    <definedName name="My_Query_42" localSheetId="2">history_days!$A$1:$D$107</definedName>
    <definedName name="My_Query_43" localSheetId="2">history_days!$A$1:$D$107</definedName>
    <definedName name="My_Query_44" localSheetId="2">history_days!$A$1:$D$107</definedName>
    <definedName name="My_Query_45" localSheetId="2">history_days!$A$1:$D$107</definedName>
    <definedName name="My_Query_46" localSheetId="2">history_days!$A$1:$D$107</definedName>
    <definedName name="My_Query_47" localSheetId="2">history_days!$A$1:$D$107</definedName>
    <definedName name="My_Query_48" localSheetId="2">history_days!$A$1:$D$107</definedName>
    <definedName name="My_Query_5" localSheetId="2">history_days!$A$1:$D$107</definedName>
    <definedName name="My_Query_5" localSheetId="1">today_rate!$A$1:$J$327</definedName>
    <definedName name="My_Query_6" localSheetId="2">history_days!$A$1:$D$107</definedName>
    <definedName name="My_Query_6" localSheetId="1">today_rate!$A$1:$J$327</definedName>
    <definedName name="My_Query_7" localSheetId="2">history_days!$A$1:$D$107</definedName>
    <definedName name="My_Query_7" localSheetId="1">today_rate!$A$1:$J$301</definedName>
    <definedName name="My_Query_8" localSheetId="2">history_days!$A$1:$D$107</definedName>
    <definedName name="My_Query_8" localSheetId="1">today_rate!$A$1:$J$301</definedName>
    <definedName name="My_Query_9" localSheetId="2">history_days!$A$1:$D$107</definedName>
    <definedName name="My_Query_9" localSheetId="1">today_rate!$A$1:$D$378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5" l="1"/>
  <c r="D4" i="5"/>
  <c r="D5" i="5"/>
  <c r="D6" i="5"/>
  <c r="D7" i="5"/>
  <c r="D8" i="5"/>
  <c r="D9" i="5"/>
  <c r="D10" i="5"/>
  <c r="D11" i="5"/>
  <c r="D12" i="5"/>
  <c r="D13" i="5"/>
  <c r="D14" i="5"/>
  <c r="D15" i="5"/>
  <c r="D16" i="5"/>
  <c r="D2" i="5"/>
  <c r="C58" i="1" l="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 r="C1" i="1"/>
</calcChain>
</file>

<file path=xl/connections.xml><?xml version="1.0" encoding="utf-8"?>
<connections xmlns="http://schemas.openxmlformats.org/spreadsheetml/2006/main">
  <connection id="1" name="Connection" type="4" refreshedVersion="6" saveData="1">
    <webPr sourceData="1" parsePre="1" consecutive="1" xl2000="1" url="https://www.exchangerates.org.uk/US-Dollar-USD-currency-table.html"/>
  </connection>
  <connection id="2" name="Connection1" type="4" refreshedVersion="6" saveData="1">
    <webPr sourceData="1" parsePre="1" consecutive="1" xl2000="1" url="https://www.fx-exchange.com/vnd/usd-exchange-rates-history.html"/>
  </connection>
  <connection id="3" name="Connection10" type="4" refreshedVersion="6" saveData="1">
    <webPr sourceData="1" parsePre="1" consecutive="1" xl2000="1" url="https://www.fx-exchange.com/usd/aud-exchange-rates-history.html"/>
  </connection>
  <connection id="4" name="Connection11" type="4" refreshedVersion="6" saveData="1">
    <webPr sourceData="1" parsePre="1" consecutive="1" xl2000="1" url="https://www.fx-exchange.com/usd/aud-exchange-rates-history.html"/>
  </connection>
  <connection id="5" name="Connection12" type="4" refreshedVersion="6" saveData="1">
    <webPr sourceData="1" parsePre="1" consecutive="1" xl2000="1" url="https://www.fx-exchange.com/usd/aud-exchange-rates-history.html"/>
  </connection>
  <connection id="6" name="Connection13" type="4" refreshedVersion="6" saveData="1">
    <webPr sourceData="1" parsePre="1" consecutive="1" xl2000="1" url="https://www.fx-exchange.com/usd/aud-exchange-rates-history.html"/>
  </connection>
  <connection id="7" name="Connection14" type="4" refreshedVersion="6" saveData="1">
    <webPr sourceData="1" parsePre="1" consecutive="1" xl2000="1" url="https://www.fx-exchange.com/usd/aud-exchange-rates-history.html"/>
  </connection>
  <connection id="8" name="Connection15" type="4" refreshedVersion="6" saveData="1">
    <webPr sourceData="1" parsePre="1" consecutive="1" xl2000="1" url="https://www.fx-exchange.com/usd/aud-exchange-rates-history.html"/>
  </connection>
  <connection id="9" name="Connection16" type="4" refreshedVersion="6" saveData="1">
    <webPr sourceData="1" parsePre="1" consecutive="1" xl2000="1" url="https://www.fx-exchange.com/usd/aud-exchange-rates-history.html"/>
  </connection>
  <connection id="10" name="Connection17" type="4" refreshedVersion="6" saveData="1">
    <webPr sourceData="1" parsePre="1" consecutive="1" xl2000="1" url="https://www.fx-exchange.com/usd/aud-exchange-rates-history.html"/>
  </connection>
  <connection id="11" name="Connection18" type="4" refreshedVersion="6" saveData="1">
    <webPr sourceData="1" parsePre="1" consecutive="1" xl2000="1" url="https://www.fx-exchange.com/usd/aud-exchange-rates-history.html"/>
  </connection>
  <connection id="12" name="Connection19" type="4" refreshedVersion="6" saveData="1">
    <webPr sourceData="1" parsePre="1" consecutive="1" xl2000="1" url="https://www.fx-exchange.com/usd/aud-exchange-rates-history.html"/>
  </connection>
  <connection id="13" name="Connection2" type="4" refreshedVersion="6" saveData="1">
    <webPr sourceData="1" parsePre="1" consecutive="1" xl2000="1" url="https://www.fx-exchange.com/vnd/usd-exchange-rates-history.html"/>
  </connection>
  <connection id="14" name="Connection20" type="4" refreshedVersion="6" saveData="1">
    <webPr sourceData="1" parsePre="1" consecutive="1" xl2000="1" url="https://www.fx-exchange.com/usd/aud-exchange-rates-history.html"/>
  </connection>
  <connection id="15" name="Connection21" type="4" refreshedVersion="6" saveData="1">
    <webPr sourceData="1" parsePre="1" consecutive="1" xl2000="1" url="https://www.fx-exchange.com/usd/aud-exchange-rates-history.html"/>
  </connection>
  <connection id="16" name="Connection22" type="4" refreshedVersion="6" saveData="1">
    <webPr sourceData="1" parsePre="1" consecutive="1" xl2000="1" url="https://www.fx-exchange.com/usd/aud-exchange-rates-history.html"/>
  </connection>
  <connection id="17" name="Connection23" type="4" refreshedVersion="6" saveData="1">
    <webPr sourceData="1" parsePre="1" consecutive="1" xl2000="1" url="https://www.fx-exchange.com/usd/aud-exchange-rates-history.html"/>
  </connection>
  <connection id="18" name="Connection24" type="4" refreshedVersion="6" saveData="1">
    <webPr sourceData="1" parsePre="1" consecutive="1" xl2000="1" url="https://www.fx-exchange.com/usd/aud-exchange-rates-history.html"/>
  </connection>
  <connection id="19" name="Connection25" type="4" refreshedVersion="6" saveData="1">
    <webPr sourceData="1" parsePre="1" consecutive="1" xl2000="1" url="https://www.fx-exchange.com/usd/aud-exchange-rates-history.html"/>
  </connection>
  <connection id="20" name="Connection26" type="4" refreshedVersion="6" saveData="1">
    <webPr sourceData="1" parsePre="1" consecutive="1" xl2000="1" url="https://www.fx-exchange.com/usd/aud-exchange-rates-history.html"/>
  </connection>
  <connection id="21" name="Connection27" type="4" refreshedVersion="6" saveData="1">
    <webPr sourceData="1" parsePre="1" consecutive="1" xl2000="1" url="https://www.fx-exchange.com/usd/aud-exchange-rates-history.html"/>
  </connection>
  <connection id="22" name="Connection28" type="4" refreshedVersion="6" saveData="1">
    <webPr sourceData="1" parsePre="1" consecutive="1" xl2000="1" url="https://www.fx-exchange.com/usd/aud-exchange-rates-history.html"/>
  </connection>
  <connection id="23" name="Connection29" type="4" refreshedVersion="6" saveData="1">
    <webPr sourceData="1" parsePre="1" consecutive="1" xl2000="1" url="https://www.fx-exchange.com/usd/aud-exchange-rates-history.html"/>
  </connection>
  <connection id="24" name="Connection3" type="4" refreshedVersion="6" saveData="1">
    <webPr sourceData="1" parsePre="1" consecutive="1" xl2000="1" url="https://www.fx-exchange.com/usd/vnd-exchange-rates-history.html"/>
  </connection>
  <connection id="25" name="Connection30" type="4" refreshedVersion="6" saveData="1">
    <webPr sourceData="1" parsePre="1" consecutive="1" xl2000="1" url="https://www.fx-exchange.com/usd/aud-exchange-rates-history.html"/>
  </connection>
  <connection id="26" name="Connection31" type="4" refreshedVersion="6" saveData="1">
    <webPr sourceData="1" parsePre="1" consecutive="1" xl2000="1" url="https://www.fx-exchange.com/usd/aud-exchange-rates-history.html"/>
  </connection>
  <connection id="27" name="Connection32" type="4" refreshedVersion="6" saveData="1">
    <webPr sourceData="1" parsePre="1" consecutive="1" xl2000="1" url="https://www.xe.com/currencytables/?from=USD&amp;date=2024-02-13#table-section"/>
  </connection>
  <connection id="28" name="Connection33" type="4" refreshedVersion="6" saveData="1">
    <webPr sourceData="1" parsePre="1" consecutive="1" xl2000="1" url="https://www.fx-exchange.com/usd/thb-exchange-rates-history.html"/>
  </connection>
  <connection id="29" name="Connection34" type="4" refreshedVersion="6" saveData="1">
    <webPr sourceData="1" parsePre="1" consecutive="1" xl2000="1" url="https://www.fx-exchange.com/aud/ars-exchange-rates-history.html"/>
  </connection>
  <connection id="30" name="Connection35" type="4" refreshedVersion="6" saveData="1">
    <webPr sourceData="1" parsePre="1" consecutive="1" xl2000="1" url="https://www.fx-exchange.com/bbd/ars-exchange-rates-history.html"/>
  </connection>
  <connection id="31" name="Connection36" type="4" refreshedVersion="6" saveData="1">
    <webPr sourceData="1" parsePre="1" consecutive="1" xl2000="1" url="https://www.xe.com/currencytables/?from=USD&amp;date=2024-02-19#table-section"/>
  </connection>
  <connection id="32" name="Connection37" type="4" refreshedVersion="6" saveData="1">
    <webPr sourceData="1" parsePre="1" consecutive="1" xl2000="1" url="https://www.fx-exchange.com/usd/aud-exchange-rates-history.html"/>
  </connection>
  <connection id="33" name="Connection38" type="4" refreshedVersion="6" saveData="1">
    <webPr sourceData="1" parsePre="1" consecutive="1" xl2000="1" url="https://www.fx-exchange.com/usd/jpy-exchange-rates-history.html"/>
  </connection>
  <connection id="34" name="Connection39" type="4" refreshedVersion="6" saveData="1">
    <webPr sourceData="1" parsePre="1" consecutive="1" xl2000="1" url="https://www.fx-exchange.com/usd/jpy-exchange-rates-history.html"/>
  </connection>
  <connection id="35" name="Connection4" type="4" refreshedVersion="6" saveData="1">
    <webPr sourceData="1" parsePre="1" consecutive="1" xl2000="1" url="https://www.fx-exchange.com/usd/vnd-exchange-rates-history.html"/>
  </connection>
  <connection id="36" name="Connection40" type="4" refreshedVersion="6" saveData="1">
    <webPr sourceData="1" parsePre="1" consecutive="1" xl2000="1" url="https://www.fx-exchange.com/usd/cny-exchange-rates-history.html"/>
  </connection>
  <connection id="37" name="Connection41" type="4" refreshedVersion="6" saveData="1">
    <webPr sourceData="1" parsePre="1" consecutive="1" xl2000="1" url="https://www.exchangerates.org.uk/US-Dollar-USD-currency-table.html"/>
  </connection>
  <connection id="38" name="Connection42" type="4" refreshedVersion="6" saveData="1">
    <webPr sourceData="1" parsePre="1" consecutive="1" xl2000="1" url="https://www.exchangerates.org.uk/US-Dollar-USD-currency-table.html"/>
  </connection>
  <connection id="39" name="Connection43" type="4" refreshedVersion="6" saveData="1">
    <webPr sourceData="1" parsePre="1" consecutive="1" xl2000="1" url="https://www.fx-exchange.com/usd/nzd-exchange-rates-history.html"/>
  </connection>
  <connection id="40" name="Connection44" type="4" refreshedVersion="6" saveData="1">
    <webPr sourceData="1" parsePre="1" consecutive="1" xl2000="1" url="https://www.exchangerates.org.uk/US-Dollar-USD-currency-table.html"/>
  </connection>
  <connection id="41" name="Connection45" type="4" refreshedVersion="6" saveData="1">
    <webPr sourceData="1" parsePre="1" consecutive="1" xl2000="1" url="https://www.exchangerates.org.uk/US-Dollar-USD-currency-table.html"/>
  </connection>
  <connection id="42" name="Connection46" type="4" refreshedVersion="6" saveData="1">
    <webPr sourceData="1" parsePre="1" consecutive="1" xl2000="1" url="https://www.fx-exchange.com/usd/sgd-exchange-rates-history.html"/>
  </connection>
  <connection id="43" name="Connection47" type="4" refreshedVersion="6" saveData="1">
    <webPr sourceData="1" parsePre="1" consecutive="1" xl2000="1" url="https://www.xe.com/currencytables/?from=USD&amp;date=2024-02-18#table-section"/>
  </connection>
  <connection id="44" name="Connection48" type="4" refreshedVersion="6" saveData="1">
    <webPr sourceData="1" parsePre="1" consecutive="1" xl2000="1" url="https://www.exchangerates.org.uk/US-Dollar-USD-currency-table.html"/>
  </connection>
  <connection id="45" name="Connection49" type="4" refreshedVersion="6" saveData="1">
    <webPr sourceData="1" parsePre="1" consecutive="1" xl2000="1" url="https://www.exchangerates.org.uk/US-Dollar-USD-currency-table.html"/>
  </connection>
  <connection id="46" name="Connection5" type="4" refreshedVersion="6" saveData="1">
    <webPr sourceData="1" parsePre="1" consecutive="1" xl2000="1" url="https://www.exchangerates.org.uk/currency-symbols.html"/>
  </connection>
  <connection id="47" name="Connection50" type="4" refreshedVersion="6" saveData="1">
    <webPr sourceData="1" parsePre="1" consecutive="1" xl2000="1" url="https://www.fx-exchange.com/usd/jpy-exchange-rates-history.html"/>
  </connection>
  <connection id="48" name="Connection51" type="4" refreshedVersion="6" saveData="1">
    <webPr sourceData="1" parsePre="1" consecutive="1" xl2000="1" url="https://www.xe.com/currencytables/?from=USD&amp;date=2024-02-16#table-section"/>
  </connection>
  <connection id="49" name="Connection52" type="4" refreshedVersion="6" saveData="1">
    <webPr sourceData="1" parsePre="1" consecutive="1" xl2000="1" url="https://www.fx-exchange.com/usd/nzd-exchange-rates-history.html"/>
  </connection>
  <connection id="50" name="Connection53" type="4" refreshedVersion="6" saveData="1">
    <webPr sourceData="1" parsePre="1" consecutive="1" xl2000="1" url="https://www.exchangerates.org.uk/Argentine-Peso-ARS-currency-table.html"/>
  </connection>
  <connection id="51" name="Connection54" type="4" refreshedVersion="6" saveData="1">
    <webPr sourceData="1" parsePre="1" consecutive="1" xl2000="1" url="https://www.exchangerates.org.uk/Argentine-Peso-ARS-currency-table.html"/>
  </connection>
  <connection id="52" name="Connection55" type="4" refreshedVersion="6" saveData="1">
    <webPr sourceData="1" parsePre="1" consecutive="1" xl2000="1" url="https://www.xe.com/currencytables/?from=ARS&amp;date=2024-02-05#table-section"/>
  </connection>
  <connection id="53" name="Connection56" type="4" refreshedVersion="6" saveData="1">
    <webPr sourceData="1" parsePre="1" consecutive="1" xl2000="1" url="https://www.xe.com/currencytables/?from=ARS&amp;date=2024-02-13#table-section"/>
  </connection>
  <connection id="54" name="Connection57" type="4" refreshedVersion="6" saveData="1">
    <webPr sourceData="1" parsePre="1" consecutive="1" xl2000="1" url="https://www.xe.com/currencytables/?from=USD&amp;date=2024-02-19#table-section"/>
  </connection>
  <connection id="55" name="Connection58" type="4" refreshedVersion="6" saveData="1">
    <webPr sourceData="1" parsePre="1" consecutive="1" xl2000="1" url="https://www.fx-exchange.com/usd/jpy-exchange-rates-history.html"/>
  </connection>
  <connection id="56" name="Connection59" type="4" refreshedVersion="6" saveData="1">
    <webPr sourceData="1" parsePre="1" consecutive="1" xl2000="1" url="https://www.xe.com/currencytables/?from=USD&amp;date=2024-02-19#table-section"/>
  </connection>
  <connection id="57" name="Connection6" type="4" refreshedVersion="6" saveData="1">
    <webPr sourceData="1" parsePre="1" consecutive="1" xl2000="1" url="https://www.fx-exchange.com/usd/vnd-exchange-rates-history.html"/>
  </connection>
  <connection id="58" name="Connection7" type="4" refreshedVersion="6" saveData="1">
    <webPr sourceData="1" parsePre="1" consecutive="1" xl2000="1" url="https://www.fx-exchange.com/vnd/usd-exchange-rates-history.html"/>
  </connection>
  <connection id="59" name="Connection8" type="4" refreshedVersion="6" saveData="1">
    <webPr sourceData="1" parsePre="1" consecutive="1" xl2000="1" url="https://www.fx-exchange.com/usd/aud-exchange-rates-history.html"/>
  </connection>
  <connection id="60" name="Connection9" type="4" refreshedVersion="6" saveData="1">
    <webPr sourceData="1" parsePre="1" consecutive="1" xl2000="1" url="https://www.fx-exchange.com/usd/aud-exchange-rates-history.html"/>
  </connection>
</connections>
</file>

<file path=xl/sharedStrings.xml><?xml version="1.0" encoding="utf-8"?>
<sst xmlns="http://schemas.openxmlformats.org/spreadsheetml/2006/main" count="1219" uniqueCount="857">
  <si>
    <t>ARS</t>
  </si>
  <si>
    <t>Argentine Peso</t>
  </si>
  <si>
    <t>AUD</t>
  </si>
  <si>
    <t>Australian Dollar</t>
  </si>
  <si>
    <t>BHD</t>
  </si>
  <si>
    <t>Bahraini Dinar</t>
  </si>
  <si>
    <t>BBD</t>
  </si>
  <si>
    <t>Barbadian Dollar</t>
  </si>
  <si>
    <t>BRL</t>
  </si>
  <si>
    <t>Brazilian Real</t>
  </si>
  <si>
    <t>GBP</t>
  </si>
  <si>
    <t>British Pound</t>
  </si>
  <si>
    <t>CAD</t>
  </si>
  <si>
    <t>Canadian Dollar</t>
  </si>
  <si>
    <t>XAF</t>
  </si>
  <si>
    <t>Central African CFA franc</t>
  </si>
  <si>
    <t>CLP</t>
  </si>
  <si>
    <t>Chilean Peso</t>
  </si>
  <si>
    <t>CNY</t>
  </si>
  <si>
    <t>Chinese Yuan</t>
  </si>
  <si>
    <t>CYP</t>
  </si>
  <si>
    <t>Cyprus Pound</t>
  </si>
  <si>
    <t>CZK</t>
  </si>
  <si>
    <t>Czech Koruna</t>
  </si>
  <si>
    <t>DKK</t>
  </si>
  <si>
    <t>Danish Krone</t>
  </si>
  <si>
    <t>XCD</t>
  </si>
  <si>
    <t>East Caribbean Dollar</t>
  </si>
  <si>
    <t>EGP</t>
  </si>
  <si>
    <t>Egyptian Pound</t>
  </si>
  <si>
    <t>EEK</t>
  </si>
  <si>
    <t>Estonian Kroon</t>
  </si>
  <si>
    <t>EUR</t>
  </si>
  <si>
    <t>Euro</t>
  </si>
  <si>
    <t>HKD</t>
  </si>
  <si>
    <t>Hong Kong Dollar</t>
  </si>
  <si>
    <t>HUF</t>
  </si>
  <si>
    <t>Hungarian Forint</t>
  </si>
  <si>
    <t>ISK</t>
  </si>
  <si>
    <t>Icelandic Krona</t>
  </si>
  <si>
    <t>INR</t>
  </si>
  <si>
    <t>Indian Rupee</t>
  </si>
  <si>
    <t>IDR</t>
  </si>
  <si>
    <t>Indonesian Rupiah</t>
  </si>
  <si>
    <t>ILS</t>
  </si>
  <si>
    <t>Israeli Sheqel</t>
  </si>
  <si>
    <t>JMD</t>
  </si>
  <si>
    <t>Jamaican Dollar</t>
  </si>
  <si>
    <t>JPY</t>
  </si>
  <si>
    <t>Japanese Yen</t>
  </si>
  <si>
    <t>JOD</t>
  </si>
  <si>
    <t>Jordanian Dinar</t>
  </si>
  <si>
    <t>KES</t>
  </si>
  <si>
    <t>Kenyan Shilling</t>
  </si>
  <si>
    <t>LVL</t>
  </si>
  <si>
    <t>Latvian Lats</t>
  </si>
  <si>
    <t>LBP</t>
  </si>
  <si>
    <t>Lebanese Pound</t>
  </si>
  <si>
    <t>LTL</t>
  </si>
  <si>
    <t>Lithuanian Litas</t>
  </si>
  <si>
    <t>MYR</t>
  </si>
  <si>
    <t>Malaysian Ringgit</t>
  </si>
  <si>
    <t>MXN</t>
  </si>
  <si>
    <t>Mexican Peso</t>
  </si>
  <si>
    <t>MAD</t>
  </si>
  <si>
    <t>Moroccan Dirham</t>
  </si>
  <si>
    <t>NAD</t>
  </si>
  <si>
    <t>Namibian Dollar</t>
  </si>
  <si>
    <t>NPR</t>
  </si>
  <si>
    <t>Nepalese Rupee</t>
  </si>
  <si>
    <t>NZD</t>
  </si>
  <si>
    <t>New Zealand Dollar</t>
  </si>
  <si>
    <t>NOK</t>
  </si>
  <si>
    <t>Norwegian Krone</t>
  </si>
  <si>
    <t>OMR</t>
  </si>
  <si>
    <t>Omani Rial</t>
  </si>
  <si>
    <t>PKR</t>
  </si>
  <si>
    <t>Pakistani Rupee</t>
  </si>
  <si>
    <t>PAB</t>
  </si>
  <si>
    <t>Panamanian Balboa</t>
  </si>
  <si>
    <t>PHP</t>
  </si>
  <si>
    <t>Philippine Peso</t>
  </si>
  <si>
    <t>PLN</t>
  </si>
  <si>
    <t>Polish Zloty</t>
  </si>
  <si>
    <t>QAR</t>
  </si>
  <si>
    <t>Qatari Riyal</t>
  </si>
  <si>
    <t>RON</t>
  </si>
  <si>
    <t>Romanian Leu</t>
  </si>
  <si>
    <t>RUB</t>
  </si>
  <si>
    <t>Russian Rouble</t>
  </si>
  <si>
    <t>SAR</t>
  </si>
  <si>
    <t>Saudi Riyal</t>
  </si>
  <si>
    <t>SGD</t>
  </si>
  <si>
    <t>Singapore Dollar</t>
  </si>
  <si>
    <t>ZAR</t>
  </si>
  <si>
    <t>South African Rand</t>
  </si>
  <si>
    <t>KRW</t>
  </si>
  <si>
    <t>South Korean Won</t>
  </si>
  <si>
    <t>LKR</t>
  </si>
  <si>
    <t>Sri Lankan Rupee</t>
  </si>
  <si>
    <t>SEK</t>
  </si>
  <si>
    <t>Swedish Krona</t>
  </si>
  <si>
    <t>CHF</t>
  </si>
  <si>
    <t>Swiss Franc</t>
  </si>
  <si>
    <t>THB</t>
  </si>
  <si>
    <t>Thai Baht</t>
  </si>
  <si>
    <t>TRY</t>
  </si>
  <si>
    <t>Turkish Lira</t>
  </si>
  <si>
    <t>AED</t>
  </si>
  <si>
    <t>United Arab Emirates Dirham</t>
  </si>
  <si>
    <t>USD</t>
  </si>
  <si>
    <t>US Dollar</t>
  </si>
  <si>
    <t>VEF</t>
  </si>
  <si>
    <t>Venezuelan bolivar</t>
  </si>
  <si>
    <t>XOF</t>
  </si>
  <si>
    <t>West African CFA franc</t>
  </si>
  <si>
    <t>Home</t>
  </si>
  <si>
    <t>Currency Charts</t>
  </si>
  <si>
    <t>Conversion</t>
  </si>
  <si>
    <t>Historical</t>
  </si>
  <si>
    <t>Albanian Lek</t>
  </si>
  <si>
    <t>Table</t>
  </si>
  <si>
    <t>Bulgarian Lev</t>
  </si>
  <si>
    <t>Macedonian Denar</t>
  </si>
  <si>
    <t>Moldovan Leu</t>
  </si>
  <si>
    <t>USD ARS</t>
  </si>
  <si>
    <t>ARS USD</t>
  </si>
  <si>
    <t>Bahamian Dollar</t>
  </si>
  <si>
    <t>Colombian Peso</t>
  </si>
  <si>
    <t>Dominican Peso</t>
  </si>
  <si>
    <t>Paraguayan Guarani</t>
  </si>
  <si>
    <t>Macau Pataca</t>
  </si>
  <si>
    <t>Iraqi Dinar</t>
  </si>
  <si>
    <t>Kuwaiti Dinar</t>
  </si>
  <si>
    <t>Algerian Dinar</t>
  </si>
  <si>
    <t>Ethiopian Birr</t>
  </si>
  <si>
    <t>Gambian Dalasi</t>
  </si>
  <si>
    <t>Nigerian Naira</t>
  </si>
  <si>
    <t>Tanzanian Shilling</t>
  </si>
  <si>
    <t>Tunisian Dinar</t>
  </si>
  <si>
    <t>Ugandan Shilling</t>
  </si>
  <si>
    <t>About Us</t>
  </si>
  <si>
    <t>Privacy</t>
  </si>
  <si>
    <t>Click the button bellow to run the app</t>
  </si>
  <si>
    <t>Menu☰</t>
  </si>
  <si>
    <t>Currency Converter</t>
  </si>
  <si>
    <t>Exchange Rates</t>
  </si>
  <si>
    <t>Currency Profile</t>
  </si>
  <si>
    <t>Currency RSS</t>
  </si>
  <si>
    <t>Currency Widget</t>
  </si>
  <si>
    <t>=</t>
  </si>
  <si>
    <t>Chart : 10D | 1M | 3M | 6M | 12M</t>
  </si>
  <si>
    <t>Currency Exchange Rates Historical</t>
  </si>
  <si>
    <t>Date</t>
  </si>
  <si>
    <t>Vietnamese Dong</t>
  </si>
  <si>
    <t>History</t>
  </si>
  <si>
    <t>Wednesday 07/02/2024</t>
  </si>
  <si>
    <t>Tuesday 06/02/2024</t>
  </si>
  <si>
    <t>Monday 05/02/2024</t>
  </si>
  <si>
    <t>Sunday 04/02/2024</t>
  </si>
  <si>
    <t>Saturday 03/02/2024</t>
  </si>
  <si>
    <t>Friday 02/02/2024</t>
  </si>
  <si>
    <t>Thursday 01/02/2024</t>
  </si>
  <si>
    <t>Wednesday 31/01/2024</t>
  </si>
  <si>
    <t>Tuesday 30/01/2024</t>
  </si>
  <si>
    <t>Monday 29/01/2024</t>
  </si>
  <si>
    <t>CURRENCY PAGES</t>
  </si>
  <si>
    <t>British Pound Sterling</t>
  </si>
  <si>
    <t>Chinese Yuan Renminbi</t>
  </si>
  <si>
    <t>New Taiwan Dollar</t>
  </si>
  <si>
    <t>Russian Ruble</t>
  </si>
  <si>
    <t>Bitcoin</t>
  </si>
  <si>
    <t>Currency Pair</t>
  </si>
  <si>
    <t>Copyright© 2011 - 2024 Currency Exchange | 為替 通貨 | Moeda Conversor página | Wechselkurs | Gold Price OZ | Contact Us | Privacy Policy</t>
  </si>
  <si>
    <t>AUD ARS</t>
  </si>
  <si>
    <t>Australian Dollars to Argentine Pesos</t>
  </si>
  <si>
    <t>GBP ARS</t>
  </si>
  <si>
    <t>Pounds to Argentine Pesos</t>
  </si>
  <si>
    <t>EUR ARS</t>
  </si>
  <si>
    <t>Euros to Argentine Pesos</t>
  </si>
  <si>
    <t>NZD ARS</t>
  </si>
  <si>
    <t>New Zealand Dollars to Argentine Pesos</t>
  </si>
  <si>
    <t>Dollars to Argentine Pesos</t>
  </si>
  <si>
    <t>ARS AUD</t>
  </si>
  <si>
    <t>Argentine Pesos to Australian Dollars</t>
  </si>
  <si>
    <t>ARS GBP</t>
  </si>
  <si>
    <t>Argentine Pesos to Pounds</t>
  </si>
  <si>
    <t>ARS CAD</t>
  </si>
  <si>
    <t>Argentine Pesos to Canadian Dollars</t>
  </si>
  <si>
    <t>ARS CNY</t>
  </si>
  <si>
    <t>Argentine Pesos to Yuan</t>
  </si>
  <si>
    <t>ARS EUR</t>
  </si>
  <si>
    <t>Argentine Pesos to Euros</t>
  </si>
  <si>
    <t>ARS HKD</t>
  </si>
  <si>
    <t>Argentine Pesos to Hong Kong Dollars</t>
  </si>
  <si>
    <t>ARS INR</t>
  </si>
  <si>
    <t>Argentine Pesos to Rupees</t>
  </si>
  <si>
    <t>ARS JPY</t>
  </si>
  <si>
    <t>Argentine Pesos to Yen</t>
  </si>
  <si>
    <t>ARS NZD</t>
  </si>
  <si>
    <t>Argentine Pesos to New Zealand Dollars</t>
  </si>
  <si>
    <t>ARS ZAR</t>
  </si>
  <si>
    <t>Argentine Pesos to South African Rands</t>
  </si>
  <si>
    <t>ARS CHF</t>
  </si>
  <si>
    <t>Argentine Pesos to Swiss Francs</t>
  </si>
  <si>
    <t>ARS TRY</t>
  </si>
  <si>
    <t>Argentine Pesos to Lira</t>
  </si>
  <si>
    <t>Argentine Pesos to Dollars</t>
  </si>
  <si>
    <t>ARS AED</t>
  </si>
  <si>
    <t>Argentine Pesos to Dirhams</t>
  </si>
  <si>
    <t>1 Argentine Peso</t>
  </si>
  <si>
    <t>in Argentine Peso</t>
  </si>
  <si>
    <t>ARS ALL</t>
  </si>
  <si>
    <t>ALL ARS</t>
  </si>
  <si>
    <t>ARS BGN</t>
  </si>
  <si>
    <t>BGN ARS</t>
  </si>
  <si>
    <t>ARS HRK</t>
  </si>
  <si>
    <t>HRK ARS</t>
  </si>
  <si>
    <t>ARS CZK</t>
  </si>
  <si>
    <t>CZK ARS</t>
  </si>
  <si>
    <t>ARS DKK</t>
  </si>
  <si>
    <t>DKK ARS</t>
  </si>
  <si>
    <t>ARS HUF</t>
  </si>
  <si>
    <t>HUF ARS</t>
  </si>
  <si>
    <t>ARS ISK</t>
  </si>
  <si>
    <t>ISK ARS</t>
  </si>
  <si>
    <t>ARS KZT</t>
  </si>
  <si>
    <t>KZT ARS</t>
  </si>
  <si>
    <t>ARS MKD</t>
  </si>
  <si>
    <t>MKD ARS</t>
  </si>
  <si>
    <t>ARS MDL</t>
  </si>
  <si>
    <t>MDL ARS</t>
  </si>
  <si>
    <t>ARS NOK</t>
  </si>
  <si>
    <t>NOK ARS</t>
  </si>
  <si>
    <t>ARS PLN</t>
  </si>
  <si>
    <t>PLN ARS</t>
  </si>
  <si>
    <t>ARS RON</t>
  </si>
  <si>
    <t>RON ARS</t>
  </si>
  <si>
    <t>ARS RUB</t>
  </si>
  <si>
    <t>RUB ARS</t>
  </si>
  <si>
    <t>ARS SEK</t>
  </si>
  <si>
    <t>SEK ARS</t>
  </si>
  <si>
    <t>CHF ARS</t>
  </si>
  <si>
    <t>TRY ARS</t>
  </si>
  <si>
    <t>ARS UAH</t>
  </si>
  <si>
    <t>UAH ARS</t>
  </si>
  <si>
    <t>ARS AWG</t>
  </si>
  <si>
    <t>AWG ARS</t>
  </si>
  <si>
    <t>ARS BSD</t>
  </si>
  <si>
    <t>BSD ARS</t>
  </si>
  <si>
    <t>ARS BBD</t>
  </si>
  <si>
    <t>BBD ARS</t>
  </si>
  <si>
    <t>ARS BZD</t>
  </si>
  <si>
    <t>BZD ARS</t>
  </si>
  <si>
    <t>ARS BMD</t>
  </si>
  <si>
    <t>BMD ARS</t>
  </si>
  <si>
    <t>ARS BOB</t>
  </si>
  <si>
    <t>BOB ARS</t>
  </si>
  <si>
    <t>ARS BRL</t>
  </si>
  <si>
    <t>BRL ARS</t>
  </si>
  <si>
    <t>CAD ARS</t>
  </si>
  <si>
    <t>ARS KYD</t>
  </si>
  <si>
    <t>KYD ARS</t>
  </si>
  <si>
    <t>ARS CLP</t>
  </si>
  <si>
    <t>CLP ARS</t>
  </si>
  <si>
    <t>ARS COP</t>
  </si>
  <si>
    <t>COP ARS</t>
  </si>
  <si>
    <t>ARS CRC</t>
  </si>
  <si>
    <t>CRC ARS</t>
  </si>
  <si>
    <t>ARS DOP</t>
  </si>
  <si>
    <t>DOP ARS</t>
  </si>
  <si>
    <t>ARS XCD</t>
  </si>
  <si>
    <t>XCD ARS</t>
  </si>
  <si>
    <t>ARS SVC</t>
  </si>
  <si>
    <t>SVC ARS</t>
  </si>
  <si>
    <t>ARS FJD</t>
  </si>
  <si>
    <t>FJD ARS</t>
  </si>
  <si>
    <t>ARS GTQ</t>
  </si>
  <si>
    <t>GTQ ARS</t>
  </si>
  <si>
    <t>ARS HTG</t>
  </si>
  <si>
    <t>HTG ARS</t>
  </si>
  <si>
    <t>ARS HNL</t>
  </si>
  <si>
    <t>HNL ARS</t>
  </si>
  <si>
    <t>ARS JMD</t>
  </si>
  <si>
    <t>JMD ARS</t>
  </si>
  <si>
    <t>ARS MXN</t>
  </si>
  <si>
    <t>MXN ARS</t>
  </si>
  <si>
    <t>ARS ANG</t>
  </si>
  <si>
    <t>ANG ARS</t>
  </si>
  <si>
    <t>ARS PAB</t>
  </si>
  <si>
    <t>PAB ARS</t>
  </si>
  <si>
    <t>ARS PYG</t>
  </si>
  <si>
    <t>PYG ARS</t>
  </si>
  <si>
    <t>ARS PEN</t>
  </si>
  <si>
    <t>PEN ARS</t>
  </si>
  <si>
    <t>ARS SZL</t>
  </si>
  <si>
    <t>SZL ARS</t>
  </si>
  <si>
    <t>ARS TTD</t>
  </si>
  <si>
    <t>TTD ARS</t>
  </si>
  <si>
    <t>ARS UYU</t>
  </si>
  <si>
    <t>UYU ARS</t>
  </si>
  <si>
    <t>ARS BDT</t>
  </si>
  <si>
    <t>BDT ARS</t>
  </si>
  <si>
    <t>ARS BTN</t>
  </si>
  <si>
    <t>BTN ARS</t>
  </si>
  <si>
    <t>ARS BND</t>
  </si>
  <si>
    <t>BND ARS</t>
  </si>
  <si>
    <t>CNY ARS</t>
  </si>
  <si>
    <t>INR ARS</t>
  </si>
  <si>
    <t>ARS IDR</t>
  </si>
  <si>
    <t>IDR ARS</t>
  </si>
  <si>
    <t>JPY ARS</t>
  </si>
  <si>
    <t>ARS MOP</t>
  </si>
  <si>
    <t>MOP ARS</t>
  </si>
  <si>
    <t>ARS MYR</t>
  </si>
  <si>
    <t>MYR ARS</t>
  </si>
  <si>
    <t>ARS MVR</t>
  </si>
  <si>
    <t>MVR ARS</t>
  </si>
  <si>
    <t>ARS NPR</t>
  </si>
  <si>
    <t>NPR ARS</t>
  </si>
  <si>
    <t>ARS XPF</t>
  </si>
  <si>
    <t>XPF ARS</t>
  </si>
  <si>
    <t>ARS PKR</t>
  </si>
  <si>
    <t>PKR ARS</t>
  </si>
  <si>
    <t>ARS PGK</t>
  </si>
  <si>
    <t>PGK ARS</t>
  </si>
  <si>
    <t>ARS PHP</t>
  </si>
  <si>
    <t>PHP ARS</t>
  </si>
  <si>
    <t>ARS SCR</t>
  </si>
  <si>
    <t>SCR ARS</t>
  </si>
  <si>
    <t>ARS SGD</t>
  </si>
  <si>
    <t>SGD ARS</t>
  </si>
  <si>
    <t>ARS SBD</t>
  </si>
  <si>
    <t>SBD ARS</t>
  </si>
  <si>
    <t>ARS KRW</t>
  </si>
  <si>
    <t>KRW ARS</t>
  </si>
  <si>
    <t>ARS LKR</t>
  </si>
  <si>
    <t>LKR ARS</t>
  </si>
  <si>
    <t>ARS TWD</t>
  </si>
  <si>
    <t>TWD ARS</t>
  </si>
  <si>
    <t>ARS THB</t>
  </si>
  <si>
    <t>THB ARS</t>
  </si>
  <si>
    <t>ARS VUV</t>
  </si>
  <si>
    <t>VUV ARS</t>
  </si>
  <si>
    <t>ARS BHD</t>
  </si>
  <si>
    <t>BHD ARS</t>
  </si>
  <si>
    <t>ARS EGP</t>
  </si>
  <si>
    <t>EGP ARS</t>
  </si>
  <si>
    <t>HKD ARS</t>
  </si>
  <si>
    <t>ARS IRR</t>
  </si>
  <si>
    <t>IRR ARS</t>
  </si>
  <si>
    <t>ARS IQD</t>
  </si>
  <si>
    <t>IQD ARS</t>
  </si>
  <si>
    <t>ARS ILS</t>
  </si>
  <si>
    <t>ILS ARS</t>
  </si>
  <si>
    <t>ARS JOD</t>
  </si>
  <si>
    <t>JOD ARS</t>
  </si>
  <si>
    <t>ARS KWD</t>
  </si>
  <si>
    <t>KWD ARS</t>
  </si>
  <si>
    <t>ARS LBP</t>
  </si>
  <si>
    <t>LBP ARS</t>
  </si>
  <si>
    <t>ARS MNT</t>
  </si>
  <si>
    <t>MNT ARS</t>
  </si>
  <si>
    <t>ARS OMR</t>
  </si>
  <si>
    <t>OMR ARS</t>
  </si>
  <si>
    <t>ARS QAR</t>
  </si>
  <si>
    <t>QAR ARS</t>
  </si>
  <si>
    <t>ARS SAR</t>
  </si>
  <si>
    <t>SAR ARS</t>
  </si>
  <si>
    <t>AED ARS</t>
  </si>
  <si>
    <t>ARS YER</t>
  </si>
  <si>
    <t>YER ARS</t>
  </si>
  <si>
    <t>ARS DZD</t>
  </si>
  <si>
    <t>DZD ARS</t>
  </si>
  <si>
    <t>ARS BIF</t>
  </si>
  <si>
    <t>BIF ARS</t>
  </si>
  <si>
    <t>ARS XAF</t>
  </si>
  <si>
    <t>XAF ARS</t>
  </si>
  <si>
    <t>ARS KMF</t>
  </si>
  <si>
    <t>KMF ARS</t>
  </si>
  <si>
    <t>ARS ETB</t>
  </si>
  <si>
    <t>ETB ARS</t>
  </si>
  <si>
    <t>ARS GMD</t>
  </si>
  <si>
    <t>GMD ARS</t>
  </si>
  <si>
    <t>ARS GNF</t>
  </si>
  <si>
    <t>GNF ARS</t>
  </si>
  <si>
    <t>ARS KES</t>
  </si>
  <si>
    <t>KES ARS</t>
  </si>
  <si>
    <t>ARS LSL</t>
  </si>
  <si>
    <t>LSL ARS</t>
  </si>
  <si>
    <t>ARS MWK</t>
  </si>
  <si>
    <t>MWK ARS</t>
  </si>
  <si>
    <t>ARS MUR</t>
  </si>
  <si>
    <t>MUR ARS</t>
  </si>
  <si>
    <t>ARS MAD</t>
  </si>
  <si>
    <t>MAD ARS</t>
  </si>
  <si>
    <t>ARS NAD</t>
  </si>
  <si>
    <t>NAD ARS</t>
  </si>
  <si>
    <t>ARS NIO</t>
  </si>
  <si>
    <t>NIO ARS</t>
  </si>
  <si>
    <t>ARS NGN</t>
  </si>
  <si>
    <t>NGN ARS</t>
  </si>
  <si>
    <t>ARS RWF</t>
  </si>
  <si>
    <t>RWF ARS</t>
  </si>
  <si>
    <t>ARS WST</t>
  </si>
  <si>
    <t>WST ARS</t>
  </si>
  <si>
    <t>ARS SLL</t>
  </si>
  <si>
    <t>SLL ARS</t>
  </si>
  <si>
    <t>ZAR ARS</t>
  </si>
  <si>
    <t>ARS TZS</t>
  </si>
  <si>
    <t>TZS ARS</t>
  </si>
  <si>
    <t>ARS TOP</t>
  </si>
  <si>
    <t>TOP ARS</t>
  </si>
  <si>
    <t>ARS TND</t>
  </si>
  <si>
    <t>TND ARS</t>
  </si>
  <si>
    <t>ARS UGX</t>
  </si>
  <si>
    <t>UGX ARS</t>
  </si>
  <si>
    <t>ARS XOF</t>
  </si>
  <si>
    <t>XOF ARS</t>
  </si>
  <si>
    <t>Updated: 19/02/24 16:38</t>
  </si>
  <si>
    <t>Skip to Content</t>
  </si>
  <si>
    <t>PersonalBusiness</t>
  </si>
  <si>
    <t>Send MoneyConverterCurrency API</t>
  </si>
  <si>
    <t>Tools</t>
  </si>
  <si>
    <t>Trends for any currency</t>
  </si>
  <si>
    <t>Rate Alerts</t>
  </si>
  <si>
    <t>Set your target rate and get alerted</t>
  </si>
  <si>
    <t>Historical Currency Rates</t>
  </si>
  <si>
    <t>Check rates for any date</t>
  </si>
  <si>
    <t>IBAN Calculator</t>
  </si>
  <si>
    <t>Search and validate IBANs</t>
  </si>
  <si>
    <t>Apps</t>
  </si>
  <si>
    <t>Smartphone apps and more</t>
  </si>
  <si>
    <t>More Tools</t>
  </si>
  <si>
    <t>Resources</t>
  </si>
  <si>
    <t>Help Center</t>
  </si>
  <si>
    <t>Refer A Friend</t>
  </si>
  <si>
    <t>Blog</t>
  </si>
  <si>
    <t>Money Transfer Tips</t>
  </si>
  <si>
    <t>Currency Encyclopedia</t>
  </si>
  <si>
    <t>Currency Newsletters</t>
  </si>
  <si>
    <t>Glossary</t>
  </si>
  <si>
    <t>More Resources</t>
  </si>
  <si>
    <t>Sign In</t>
  </si>
  <si>
    <t>Money Transfer</t>
  </si>
  <si>
    <t>Register</t>
  </si>
  <si>
    <t>Send Money</t>
  </si>
  <si>
    <t>Converter</t>
  </si>
  <si>
    <t>Currency API</t>
  </si>
  <si>
    <t>Currency Tables</t>
  </si>
  <si>
    <t>Historical rate tables</t>
  </si>
  <si>
    <t>Build historic rate tables with your chosen base currency with XE Currency Tables. For commercial purposes, get an automated currency feed through the XE Currency Data API.</t>
  </si>
  <si>
    <t>Select currency &amp; date</t>
  </si>
  <si>
    <t>Currency</t>
  </si>
  <si>
    <t>ConfirmOrLearn about our API</t>
  </si>
  <si>
    <t>All figures are mid-market rates, which are not available to consumers and are for informational purposes only.</t>
  </si>
  <si>
    <t>Name</t>
  </si>
  <si>
    <t>Emirati Dirham</t>
  </si>
  <si>
    <t>Saudi Arabian Riyal</t>
  </si>
  <si>
    <t>IQD</t>
  </si>
  <si>
    <t>KWD</t>
  </si>
  <si>
    <t>Israeli Shekel</t>
  </si>
  <si>
    <t>XAU</t>
  </si>
  <si>
    <t>Gold Ounce</t>
  </si>
  <si>
    <t>COP</t>
  </si>
  <si>
    <t>TWD</t>
  </si>
  <si>
    <t>Taiwan New Dollar</t>
  </si>
  <si>
    <t>VND</t>
  </si>
  <si>
    <t>CFA Franc</t>
  </si>
  <si>
    <t>UAH</t>
  </si>
  <si>
    <t>Ukrainian Hryvnia</t>
  </si>
  <si>
    <t>NGN</t>
  </si>
  <si>
    <t>TND</t>
  </si>
  <si>
    <t>UGX</t>
  </si>
  <si>
    <t>BDT</t>
  </si>
  <si>
    <t>Bangladeshi Taka</t>
  </si>
  <si>
    <t>PEN</t>
  </si>
  <si>
    <t>Peruvian Sol</t>
  </si>
  <si>
    <t>GEL</t>
  </si>
  <si>
    <t>Georgian Lari</t>
  </si>
  <si>
    <t>Central African CFA Franc BEAC</t>
  </si>
  <si>
    <t>FJD</t>
  </si>
  <si>
    <t>Fijian Dollar</t>
  </si>
  <si>
    <t>Venezuelan Bolívar</t>
  </si>
  <si>
    <t>VES</t>
  </si>
  <si>
    <t>BYN</t>
  </si>
  <si>
    <t>Belarusian Ruble</t>
  </si>
  <si>
    <t>UZS</t>
  </si>
  <si>
    <t>Uzbekistani Som</t>
  </si>
  <si>
    <t>BGN</t>
  </si>
  <si>
    <t>DZD</t>
  </si>
  <si>
    <t>IRR</t>
  </si>
  <si>
    <t>Iranian Rial</t>
  </si>
  <si>
    <t>DOP</t>
  </si>
  <si>
    <t>CRC</t>
  </si>
  <si>
    <t>Costa Rican Colon</t>
  </si>
  <si>
    <t>XAG</t>
  </si>
  <si>
    <t>Silver Ounce</t>
  </si>
  <si>
    <t>SYP</t>
  </si>
  <si>
    <t>Syrian Pound</t>
  </si>
  <si>
    <t>LYD</t>
  </si>
  <si>
    <t>Libyan Dinar</t>
  </si>
  <si>
    <t>GHS</t>
  </si>
  <si>
    <t>Ghanaian Cedi</t>
  </si>
  <si>
    <t>MUR</t>
  </si>
  <si>
    <t>Mauritian Rupee</t>
  </si>
  <si>
    <t>AOA</t>
  </si>
  <si>
    <t>Angolan Kwanza</t>
  </si>
  <si>
    <t>UYU</t>
  </si>
  <si>
    <t>Uruguayan Peso</t>
  </si>
  <si>
    <t>AFN</t>
  </si>
  <si>
    <t>Afghan Afghani</t>
  </si>
  <si>
    <t>XPF</t>
  </si>
  <si>
    <t>CFP Franc</t>
  </si>
  <si>
    <t>TTD</t>
  </si>
  <si>
    <t>Trinidadian Dollar</t>
  </si>
  <si>
    <t>TZS</t>
  </si>
  <si>
    <t>ALL</t>
  </si>
  <si>
    <t>GTQ</t>
  </si>
  <si>
    <t>Guatemalan Quetzal</t>
  </si>
  <si>
    <t>BOB</t>
  </si>
  <si>
    <t>Bolivian Bolíviano</t>
  </si>
  <si>
    <t>ZWD</t>
  </si>
  <si>
    <t>Zimbabwean Dollar</t>
  </si>
  <si>
    <t>Barbadian or Bajan Dollar</t>
  </si>
  <si>
    <t>CUC</t>
  </si>
  <si>
    <t>Cuban Convertible Peso</t>
  </si>
  <si>
    <t>LAK</t>
  </si>
  <si>
    <t>Lao Kip</t>
  </si>
  <si>
    <t>BND</t>
  </si>
  <si>
    <t>Bruneian Dollar</t>
  </si>
  <si>
    <t>BWP</t>
  </si>
  <si>
    <t>Botswana Pula</t>
  </si>
  <si>
    <t>HNL</t>
  </si>
  <si>
    <t>Honduran Lempira</t>
  </si>
  <si>
    <t>PYG</t>
  </si>
  <si>
    <t>ETB</t>
  </si>
  <si>
    <t>PGK</t>
  </si>
  <si>
    <t>Papua New Guinean Kina</t>
  </si>
  <si>
    <t>SDG</t>
  </si>
  <si>
    <t>Sudanese Pound</t>
  </si>
  <si>
    <t>MOP</t>
  </si>
  <si>
    <t>BMD</t>
  </si>
  <si>
    <t>Bermudian Dollar</t>
  </si>
  <si>
    <t>NIO</t>
  </si>
  <si>
    <t>Nicaraguan Cordoba</t>
  </si>
  <si>
    <t>BAM</t>
  </si>
  <si>
    <t>Bosnian Convertible Mark</t>
  </si>
  <si>
    <t>KZT</t>
  </si>
  <si>
    <t>Kazakhstani Tenge</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</si>
  <si>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</si>
  <si>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</si>
  <si>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</si>
  <si>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</si>
  <si>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</si>
  <si>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</si>
  <si>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</si>
  <si>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</si>
  <si>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</si>
  <si>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</si>
  <si>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</si>
  <si>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</si>
  <si>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</si>
  <si>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</si>
  <si>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</si>
  <si>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</si>
  <si>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</si>
  <si>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</si>
  <si>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</si>
  <si>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</si>
  <si>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</si>
  <si>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</si>
  <si>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</si>
  <si>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</si>
  <si>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</si>
  <si>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</si>
  <si>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</si>
  <si>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</si>
  <si>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</si>
  <si>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</si>
  <si>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</si>
  <si>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</si>
  <si>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</si>
  <si>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</si>
  <si>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</si>
  <si>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</si>
  <si>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</si>
  <si>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</si>
  <si>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</si>
  <si>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</si>
  <si>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</si>
  <si>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</si>
  <si>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</si>
  <si>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</si>
  <si>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</si>
  <si>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</si>
  <si>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</si>
  <si>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</si>
  <si>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</si>
  <si>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</si>
  <si>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</si>
  <si>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</si>
  <si>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</si>
  <si>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</si>
  <si>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</si>
  <si>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</si>
  <si>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</si>
  <si>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</si>
  <si>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</si>
  <si>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</si>
  <si>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</si>
  <si>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</si>
  <si>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CUP</t>
  </si>
  <si>
    <t>Cuban Peso</t>
  </si>
  <si>
    <t>KHR</t>
  </si>
  <si>
    <t>Cambodian Riel</t>
  </si>
  <si>
    <t>MKD</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</si>
  <si>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</si>
  <si>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</si>
  <si>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</si>
  <si>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</si>
  <si>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</si>
  <si>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</si>
  <si>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</si>
  <si>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</si>
  <si>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</si>
  <si>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</si>
  <si>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</si>
  <si>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</si>
  <si>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</si>
  <si>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</si>
  <si>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</si>
  <si>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</si>
  <si>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</si>
  <si>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</si>
  <si>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</si>
  <si>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</si>
  <si>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</si>
  <si>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</si>
  <si>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</si>
  <si>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</si>
  <si>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</si>
  <si>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</si>
  <si>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</si>
  <si>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</si>
  <si>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</si>
  <si>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</si>
  <si>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</si>
  <si>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</si>
  <si>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</si>
  <si>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</si>
  <si>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</si>
  <si>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</si>
  <si>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</si>
  <si>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</si>
  <si>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</si>
  <si>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</si>
  <si>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</si>
  <si>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</si>
  <si>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</si>
  <si>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</si>
  <si>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</si>
  <si>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</si>
  <si>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</si>
  <si>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</si>
  <si>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</si>
  <si>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</si>
  <si>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</si>
  <si>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</si>
  <si>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</si>
  <si>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</si>
  <si>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</si>
  <si>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</si>
  <si>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</si>
  <si>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</si>
  <si>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</si>
  <si>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</si>
  <si>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</si>
  <si>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</si>
  <si>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</si>
  <si>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</si>
  <si>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</si>
  <si>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</si>
  <si>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</si>
  <si>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</si>
  <si>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</si>
  <si>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</si>
  <si>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</si>
  <si>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</si>
  <si>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</si>
  <si>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</si>
  <si>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</si>
  <si>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</si>
  <si>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</si>
  <si>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</si>
  <si>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</si>
  <si>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</si>
  <si>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</si>
  <si>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</si>
  <si>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</si>
  <si>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</si>
  <si>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</si>
  <si>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</si>
  <si>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</si>
  <si>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</si>
  <si>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</si>
  <si>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</si>
  <si>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</si>
  <si>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</si>
  <si>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</si>
  <si>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</si>
  <si>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</si>
  <si>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</si>
  <si>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</si>
  <si>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Language</t>
  </si>
  <si>
    <t>English</t>
  </si>
  <si>
    <t>DeutschEspañolFrançaisPortuguêsItalianoSvenska日本語简体中文繁體中文العربية</t>
  </si>
  <si>
    <t>Transfer Money</t>
  </si>
  <si>
    <t>Register / Login</t>
  </si>
  <si>
    <t>US Money Transfer</t>
  </si>
  <si>
    <t>UK Money Transfer</t>
  </si>
  <si>
    <t>Europe Money Transfer</t>
  </si>
  <si>
    <t>Canada Money Transfer</t>
  </si>
  <si>
    <t>Australia Money Transfer</t>
  </si>
  <si>
    <t>New Zealand Money Transfer</t>
  </si>
  <si>
    <t>How does it work?</t>
  </si>
  <si>
    <t>Money Transfer Advice</t>
  </si>
  <si>
    <t>Fraud Prevention</t>
  </si>
  <si>
    <t>Trustpilot Reviews</t>
  </si>
  <si>
    <t>Money Transfer &amp; Currency Apps</t>
  </si>
  <si>
    <t>Android Money Transfer App</t>
  </si>
  <si>
    <t>iOS Money Transfer App</t>
  </si>
  <si>
    <t>Salesforce App</t>
  </si>
  <si>
    <t>Alexa App</t>
  </si>
  <si>
    <t>Slack App</t>
  </si>
  <si>
    <t>Google Assistant App</t>
  </si>
  <si>
    <t>Facebook App</t>
  </si>
  <si>
    <t>Tools &amp; Resources</t>
  </si>
  <si>
    <t>Travel Expenses Calculator</t>
  </si>
  <si>
    <t>XE Business</t>
  </si>
  <si>
    <t>US Business Money Transfer</t>
  </si>
  <si>
    <t>UK Business Money Transfer</t>
  </si>
  <si>
    <t>Europe Business Money Transfer</t>
  </si>
  <si>
    <t>Canada Business Money Transfer</t>
  </si>
  <si>
    <t>Australia Business Money Transfer</t>
  </si>
  <si>
    <t>New Zealand Business Money Transfer</t>
  </si>
  <si>
    <t>Malaysia Business Money Transfer</t>
  </si>
  <si>
    <t>Mass Payments</t>
  </si>
  <si>
    <t>Products &amp; Services</t>
  </si>
  <si>
    <t>Partnerships</t>
  </si>
  <si>
    <t>Why XE?</t>
  </si>
  <si>
    <t>Company Info</t>
  </si>
  <si>
    <t>Site Map</t>
  </si>
  <si>
    <t>Careers</t>
  </si>
  <si>
    <t>Legal</t>
  </si>
  <si>
    <t>Cookie Policy</t>
  </si>
  <si>
    <t>Consent Manager</t>
  </si>
  <si>
    <t>Money Transfer Information</t>
  </si>
  <si>
    <t>File a Complaint</t>
  </si>
  <si>
    <t>Accessibility</t>
  </si>
  <si>
    <t>© 1995-2024 XE.com Inc.</t>
  </si>
  <si>
    <t>USD – US Dollar</t>
  </si>
  <si>
    <t>Currency Table: USD — US Dollar</t>
  </si>
  <si>
    <t>Units per USD</t>
  </si>
  <si>
    <t>USD per unit</t>
  </si>
  <si>
    <t>https://www.xe.com/</t>
  </si>
  <si>
    <t>and</t>
  </si>
  <si>
    <t>https://www.fx-exchange.com/</t>
  </si>
  <si>
    <t>to convert between two currencies.</t>
  </si>
  <si>
    <t>You can also view a graph of the recent 15-day rate fluctuations for the two selected currencies.</t>
  </si>
  <si>
    <t>và</t>
  </si>
  <si>
    <t>để chuyển đổi giữa hai đơn vị tiền tệ.</t>
  </si>
  <si>
    <t>Bạn cũng có thể xem biểu đồ biến động tỷ giá 15 ngày gần đây của hai đơn vị tiền tệ đã chọn.</t>
  </si>
  <si>
    <t>Mô tả:  Dưới đây là một application nhỏ (userform) sử dụng VBA, trích xuất dữ liệu từ</t>
  </si>
  <si>
    <t>1 US Dollar (USD)</t>
  </si>
  <si>
    <t>1 USD =</t>
  </si>
  <si>
    <t>Description: Below is a simple application (userform) coded by VBA, extracting data from</t>
  </si>
  <si>
    <t>US Dollar(USD) To Japanese Yen(JPY) History</t>
  </si>
  <si>
    <t>US Dollar(USD) To Japanese Yen(JPY) History Currency Exchange</t>
  </si>
  <si>
    <t>US Dollar(USD) To Japanese Yen(JPY) Currency Exchange History</t>
  </si>
  <si>
    <t>Welcome to the page of currency pairs exchange rate history graph, US Dollar(USD) To Japanese Yen(JPY) Currency. By viewing the currency pairs exchange rate history graph (different periods for selecting), you can get more previous performance about the two currencies. Do you want to INVERT the two currencies? Visit Japanese Yen(JPY) to US Dollar(USD).</t>
  </si>
  <si>
    <t>Today ( Wednesday 07/02/2024)</t>
  </si>
  <si>
    <t>147.9315 Japanese Yen (JPY)</t>
  </si>
  <si>
    <t>Converter US Dollar(USD) to Japanese Yen(JPY)</t>
  </si>
  <si>
    <t>Exchange Rates Updated: 07/Feb/24 04:56 UTC</t>
  </si>
  <si>
    <t>Full history please visit USD/JPY Currency Exchange History</t>
  </si>
  <si>
    <t>US Dollar(USD) To Japanese Yen(JPY) History Graph</t>
  </si>
  <si>
    <t>US Dollar(USD) To Japanese Yen(JPY) 90 day history</t>
  </si>
  <si>
    <t>147.93204 JPY</t>
  </si>
  <si>
    <t>USD JPY rate 07/02/2024</t>
  </si>
  <si>
    <t>147.87597 JPY</t>
  </si>
  <si>
    <t>USD JPY rate 06/02/2024</t>
  </si>
  <si>
    <t>148.64502 JPY</t>
  </si>
  <si>
    <t>USD JPY rate 05/02/2024</t>
  </si>
  <si>
    <t>148.499 JPY</t>
  </si>
  <si>
    <t>USD JPY rate 04/02/2024</t>
  </si>
  <si>
    <t>148.37504 JPY</t>
  </si>
  <si>
    <t>USD JPY rate 03/02/2024</t>
  </si>
  <si>
    <t>USD JPY rate 02/02/2024</t>
  </si>
  <si>
    <t>146.45398 JPY</t>
  </si>
  <si>
    <t>USD JPY rate 01/02/2024</t>
  </si>
  <si>
    <t>147.00502 JPY</t>
  </si>
  <si>
    <t>USD JPY rate 31/01/2024</t>
  </si>
  <si>
    <t>147.3755 JPY</t>
  </si>
  <si>
    <t>USD JPY rate 30/01/2024</t>
  </si>
  <si>
    <t>147.47703 JPY</t>
  </si>
  <si>
    <t>USD JPY rate 29/01/2024</t>
  </si>
  <si>
    <t>Sunday 28/01/2024</t>
  </si>
  <si>
    <t>148.1465 JPY</t>
  </si>
  <si>
    <t>USD JPY rate 28/01/2024</t>
  </si>
  <si>
    <t>Saturday 27/01/2024</t>
  </si>
  <si>
    <t>148.18504 JPY</t>
  </si>
  <si>
    <t>USD JPY rate 27/01/2024</t>
  </si>
  <si>
    <t>Friday 26/01/2024</t>
  </si>
  <si>
    <t>USD JPY rate 26/01/2024</t>
  </si>
  <si>
    <t>Thursday 25/01/2024</t>
  </si>
  <si>
    <t>147.7245 JPY</t>
  </si>
  <si>
    <t>USD JPY rate 25/01/2024</t>
  </si>
  <si>
    <t>Wednesday 24/01/2024</t>
  </si>
  <si>
    <t>147.5535 JPY</t>
  </si>
  <si>
    <t>USD JPY rate 24/01/2024</t>
  </si>
  <si>
    <t>Tuesday 23/01/2024</t>
  </si>
  <si>
    <t>148.2735 JPY</t>
  </si>
  <si>
    <t>USD JPY rate 23/01/2024</t>
  </si>
  <si>
    <t>Monday 22/01/2024</t>
  </si>
  <si>
    <t>148.14602 JPY</t>
  </si>
  <si>
    <t>USD JPY rate 22/01/2024</t>
  </si>
  <si>
    <t>Sunday 21/01/2024</t>
  </si>
  <si>
    <t>148.14403 JPY</t>
  </si>
  <si>
    <t>USD JPY rate 21/01/2024</t>
  </si>
  <si>
    <t>Saturday 20/01/2024</t>
  </si>
  <si>
    <t>148.14039 JPY</t>
  </si>
  <si>
    <t>USD JPY rate 20/01/2024</t>
  </si>
  <si>
    <t>Friday 19/01/2024</t>
  </si>
  <si>
    <t>USD JPY rate 19/01/2024</t>
  </si>
  <si>
    <t>Thursday 18/01/2024</t>
  </si>
  <si>
    <t>148.133 JPY</t>
  </si>
  <si>
    <t>USD JPY rate 18/01/2024</t>
  </si>
  <si>
    <t>Wednesday 17/01/2024</t>
  </si>
  <si>
    <t>148.1195 JPY</t>
  </si>
  <si>
    <t>USD JPY rate 17/01/2024</t>
  </si>
  <si>
    <t>Link to this page - if you would like to link to US Dollar(USD) To Japanese Yen(JPY) Currency Exchange History. please copy and paste the HTML from below into your page:</t>
  </si>
  <si>
    <t>&lt;a href="https://www.fx-exchange.com/usd/jpy-exchange-rates-history.html"&gt;US Dollar(USD) To Japanese Yen(JPY) Currency Exchange History&lt;/a&gt;</t>
  </si>
  <si>
    <t>EUR / USD 1.07595</t>
  </si>
  <si>
    <t>USD / JPY 147.9315</t>
  </si>
  <si>
    <t>GBP / USD 1.26033</t>
  </si>
  <si>
    <t>USD / CHF 0.8697</t>
  </si>
  <si>
    <t>USD / CAD 1.34858</t>
  </si>
  <si>
    <t>EUR / GBP 0.8537</t>
  </si>
  <si>
    <t>EUR / JPY 159.16625</t>
  </si>
  <si>
    <t>USD / EUR 0.92942</t>
  </si>
  <si>
    <t>AUD / USD 0.65296</t>
  </si>
  <si>
    <t>BTC / USD 42923.21333</t>
  </si>
  <si>
    <t>USD/JPY RATE CHART</t>
  </si>
  <si>
    <t>https://www.exchangerates.org.uk/</t>
  </si>
  <si>
    <t>https://www.exchangerates.org.uk</t>
  </si>
  <si>
    <t>Feb 19, 2024, 17:00 UTC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</si>
</sst>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sz val="11"/>
      <color rgb="FF000000"/>
      <name val="Calibri"/>
      <family val="2"/>
    </font>
    <font>
      <sz val="11"/>
      <color theme="1"/>
      <name val="Times New Roman"/>
      <family val="1"/>
    </font>
    <font>
      <i/>
      <sz val="11"/>
      <color theme="1"/>
      <name val="Times New Roman"/>
      <family val="1"/>
    </font>
    <font>
      <u/>
      <sz val="11"/>
      <color theme="10"/>
      <name val="Calibri"/>
      <family val="2"/>
      <scheme val="minor"/>
    </font>
  </fonts>
  <fills count="3">
    <fill>
      <patternFill patternType="none"/>
    </fill>
    <fill>
      <patternFill patternType="gray125"/>
    </fill>
    <fill>
      <patternFill patternType="solid">
        <fgColor theme="6" tint="0.59999389629810485"/>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0">
    <xf numFmtId="0" fontId="0" fillId="0" borderId="0" xfId="0"/>
    <xf numFmtId="14" fontId="0" fillId="0" borderId="0" xfId="0" applyNumberFormat="1"/>
    <xf numFmtId="0" fontId="0" fillId="0" borderId="0" xfId="0" applyFont="1" applyFill="1"/>
    <xf numFmtId="0" fontId="0" fillId="0" borderId="0" xfId="0" applyNumberFormat="1"/>
    <xf numFmtId="11" fontId="0" fillId="0" borderId="0" xfId="0" applyNumberFormat="1"/>
    <xf numFmtId="10" fontId="0" fillId="0" borderId="0" xfId="0" applyNumberFormat="1"/>
    <xf numFmtId="0" fontId="2" fillId="0" borderId="0" xfId="0" applyFont="1"/>
    <xf numFmtId="0" fontId="3" fillId="0" borderId="0" xfId="0" applyFont="1"/>
    <xf numFmtId="0" fontId="2" fillId="2" borderId="0" xfId="0" applyFont="1" applyFill="1"/>
    <xf numFmtId="0" fontId="4" fillId="2" borderId="0" xfId="1"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'plot-15days'!$E$1</c:f>
              <c:strCache>
                <c:ptCount val="1"/>
                <c:pt idx="0">
                  <c:v>USD/JPY RATE CHART</c:v>
                </c:pt>
              </c:strCache>
            </c:strRef>
          </c:tx>
          <c:spPr>
            <a:ln w="28575" cap="rnd">
              <a:solidFill>
                <a:schemeClr val="accent1"/>
              </a:solidFill>
              <a:round/>
            </a:ln>
            <a:effectLst/>
          </c:spPr>
          <c:marker>
            <c:symbol val="none"/>
          </c:marker>
          <c:cat>
            <c:numRef>
              <c:f>'plot-15days'!$D$2:$D$16</c:f>
              <c:numCache>
                <c:formatCode>m/d/yyyy</c:formatCode>
                <c:ptCount val="15"/>
                <c:pt idx="0">
                  <c:v>45329</c:v>
                </c:pt>
                <c:pt idx="1">
                  <c:v>45328</c:v>
                </c:pt>
                <c:pt idx="2">
                  <c:v>45327</c:v>
                </c:pt>
                <c:pt idx="3">
                  <c:v>45326</c:v>
                </c:pt>
                <c:pt idx="4">
                  <c:v>45325</c:v>
                </c:pt>
                <c:pt idx="5">
                  <c:v>45324</c:v>
                </c:pt>
                <c:pt idx="6">
                  <c:v>45323</c:v>
                </c:pt>
                <c:pt idx="7">
                  <c:v>45322</c:v>
                </c:pt>
                <c:pt idx="8">
                  <c:v>45321</c:v>
                </c:pt>
                <c:pt idx="9">
                  <c:v>45320</c:v>
                </c:pt>
                <c:pt idx="10">
                  <c:v>45319</c:v>
                </c:pt>
                <c:pt idx="11">
                  <c:v>45318</c:v>
                </c:pt>
                <c:pt idx="12">
                  <c:v>45317</c:v>
                </c:pt>
                <c:pt idx="13">
                  <c:v>45316</c:v>
                </c:pt>
                <c:pt idx="14">
                  <c:v>45315</c:v>
                </c:pt>
              </c:numCache>
            </c:numRef>
          </c:cat>
          <c:val>
            <c:numRef>
              <c:f>'plot-15days'!$E$2:$E$16</c:f>
              <c:numCache>
                <c:formatCode>General</c:formatCode>
                <c:ptCount val="15"/>
                <c:pt idx="0">
                  <c:v>147.93204</c:v>
                </c:pt>
                <c:pt idx="1">
                  <c:v>147.87597</c:v>
                </c:pt>
                <c:pt idx="2">
                  <c:v>148.64501999999999</c:v>
                </c:pt>
                <c:pt idx="3">
                  <c:v>148.499</c:v>
                </c:pt>
                <c:pt idx="4">
                  <c:v>148.37504000000001</c:v>
                </c:pt>
                <c:pt idx="5">
                  <c:v>148.37504000000001</c:v>
                </c:pt>
                <c:pt idx="6">
                  <c:v>146.45398</c:v>
                </c:pt>
                <c:pt idx="7">
                  <c:v>147.00502</c:v>
                </c:pt>
                <c:pt idx="8">
                  <c:v>147.37549999999999</c:v>
                </c:pt>
                <c:pt idx="9">
                  <c:v>147.47703000000001</c:v>
                </c:pt>
                <c:pt idx="10">
                  <c:v>148.1465</c:v>
                </c:pt>
                <c:pt idx="11">
                  <c:v>148.18503999999999</c:v>
                </c:pt>
                <c:pt idx="12">
                  <c:v>148.18503999999999</c:v>
                </c:pt>
                <c:pt idx="13">
                  <c:v>147.72450000000001</c:v>
                </c:pt>
                <c:pt idx="14">
                  <c:v>147.55350000000001</c:v>
                </c:pt>
              </c:numCache>
            </c:numRef>
          </c:val>
          <c:smooth val="0"/>
          <c:extLst>
            <c:ext xmlns:c16="http://schemas.microsoft.com/office/drawing/2014/chart" uri="{C3380CC4-5D6E-409C-BE32-E72D297353CC}">
              <c16:uniqueId val="{00000000-8492-442C-95D6-1256437AC733}"/>
            </c:ext>
          </c:extLst>
        </c:ser>
        <c:dLbls>
          <c:showLegendKey val="0"/>
          <c:showVal val="0"/>
          <c:showCatName val="0"/>
          <c:showSerName val="0"/>
          <c:showPercent val="0"/>
          <c:showBubbleSize val="0"/>
        </c:dLbls>
        <c:smooth val="0"/>
        <c:axId val="898213552"/>
        <c:axId val="898211472"/>
      </c:lineChart>
      <c:dateAx>
        <c:axId val="898213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211472"/>
        <c:crosses val="autoZero"/>
        <c:auto val="1"/>
        <c:lblOffset val="100"/>
        <c:baseTimeUnit val="days"/>
      </c:dateAx>
      <c:valAx>
        <c:axId val="898211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RATE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213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23</xdr:row>
          <xdr:rowOff>60960</xdr:rowOff>
        </xdr:from>
        <xdr:to>
          <xdr:col>4</xdr:col>
          <xdr:colOff>91440</xdr:colOff>
          <xdr:row>29</xdr:row>
          <xdr:rowOff>45720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CURRENCY EXCHANGE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22413</xdr:rowOff>
    </xdr:from>
    <xdr:to>
      <xdr:col>22</xdr:col>
      <xdr:colOff>114300</xdr:colOff>
      <xdr:row>30</xdr:row>
      <xdr:rowOff>129093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My Query_16" backgroundRefresh="0" growShrinkType="overwriteClear" connectionId="5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15" backgroundRefresh="0" growShrinkType="overwriteClear" connectionId="5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1" backgroundRefresh="0" growShrinkType="overwriteClear" connectionId="3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10" backgroundRefresh="0" growShrinkType="overwriteClear" connectionId="5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4" backgroundRefresh="0" growShrinkType="overwriteClear" connectionId="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11" backgroundRefresh="0" growShrinkType="overwriteClear" connectionId="2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8" backgroundRefresh="0" growShrinkType="overwriteClear"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5" backgroundRefresh="0" growShrinkType="overwriteClear" connectionId="4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13" backgroundRefresh="0" growShrinkType="overwriteClear" connectionId="4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12" backgroundRefresh="0" growShrinkType="overwriteClear" connectionId="3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6" backgroundRefresh="0" growShrinkType="overwriteClear" connectionId="4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3" backgroundRefresh="0" growShrinkType="overwriteClear" connectionId="4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14" backgroundRefresh="0" growShrinkType="overwriteClear" connectionId="4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2" backgroundRefresh="0" growShrinkType="overwriteClear" connectionId="3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7" backgroundRefresh="0" growShrinkType="overwriteClear" connectionId="5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 backgroundRefresh="0" growShrinkType="overwriteClear" connectionId="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9" backgroundRefresh="0" growShrinkType="overwriteClear" connectionId="5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48" backgroundRefresh="0" growShrinkType="overwriteClear" preserveFormatting="0" adjustColumnWidth="0" connectionId="5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27" backgroundRefresh="0" growShrinkType="overwriteClear" preserveFormatting="0" adjustColumnWidth="0" connectionId="2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13" backgroundRefresh="0" growShrinkType="overwriteClear" preserveFormatting="0" adjustColumnWidth="0" connectionId="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7" backgroundRefresh="0" growShrinkType="overwriteClear" preserveFormatting="0" adjustColumnWidth="0" connectionId="6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44" backgroundRefresh="0" growShrinkType="overwriteClear" preserveFormatting="0" adjustColumnWidth="0" connectionId="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26" backgroundRefresh="0" growShrinkType="overwriteClear" preserveFormatting="0" adjustColumnWidth="0" connectionId="2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17" backgroundRefresh="0" growShrinkType="overwriteClear" preserveFormatting="0" adjustColumnWidth="0" connectionId="1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6" backgroundRefresh="0" growShrinkType="overwriteClear" preserveFormatting="0" adjustColumnWidth="0" connectionId="5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18" backgroundRefresh="0" growShrinkType="overwriteClear" preserveFormatting="0" adjustColumnWidth="0" connectionId="1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40" backgroundRefresh="0" growShrinkType="overwriteClear" preserveFormatting="0" adjustColumnWidth="0" connectionId="4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43" backgroundRefresh="0" growShrinkType="overwriteClear" preserveFormatting="0" adjustColumnWidth="0" connectionId="2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19" backgroundRefresh="0" growShrinkType="overwriteClear" preserveFormatting="0" adjustColumnWidth="0" connectionId="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39" backgroundRefresh="0" growShrinkType="overwriteClear" preserveFormatting="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21" backgroundRefresh="0" growShrinkType="overwriteClear" preserveFormatting="0" adjustColumnWidth="0" connectionId="1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4" backgroundRefresh="0" growShrinkType="overwriteClear" preserveFormatting="0" adjustColumnWidth="0" connectionId="5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8" backgroundRefresh="0" growShrinkType="overwriteClear" preserveFormatting="0" adjustColumnWidth="0" connectionId="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37" backgroundRefresh="0" growShrinkType="overwriteClear" preserveFormatting="0" adjustColumnWidth="0" connectionId="3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11" backgroundRefresh="0" growShrinkType="overwriteClear" preserveFormatting="0" adjustColumnWidth="0" connectionId="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45" backgroundRefresh="0" growShrinkType="overwriteClear" preserveFormatting="0" adjustColumnWidth="0" connectionId="3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35" backgroundRefresh="0" growShrinkType="overwriteClear" preserveFormatting="0" adjustColumnWidth="0" connectionId="3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22" backgroundRefresh="0" growShrinkType="overwriteClear" preserveFormatting="0" adjustColumnWidth="0" connectionId="1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3" backgroundRefresh="0" growShrinkType="overwriteClear" preserveFormatting="0" connectionId="3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38" backgroundRefresh="0" growShrinkType="overwriteClear" preserveFormatting="0" adjustColumnWidth="0" connectionId="3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25" backgroundRefresh="0" growShrinkType="overwriteClear" preserveFormatting="0" adjustColumnWidth="0" connectionId="2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29" backgroundRefresh="0" growShrinkType="overwriteClear" preserveFormatting="0" adjustColumnWidth="0" connectionId="2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1" backgroundRefresh="0" growShrinkType="overwriteClear" connectionId="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16" backgroundRefresh="0" growShrinkType="overwriteClear" preserveFormatting="0" adjustColumnWidth="0" connectionId="1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24" backgroundRefresh="0" growShrinkType="overwriteClear" preserveFormatting="0" adjustColumnWidth="0" connectionId="2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42" backgroundRefresh="0" growShrinkType="overwriteClear" preserveFormatting="0" adjustColumnWidth="0" connectionId="4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10" backgroundRefresh="0" growShrinkType="overwriteClear" preserveFormatting="0" adjustColumnWidth="0" connectionId="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14" backgroundRefresh="0" growShrinkType="overwriteClear" preserveFormatting="0" adjustColumnWidth="0" connectionId="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15" backgroundRefresh="0" growShrinkType="overwriteClear" preserveFormatting="0" adjustColumnWidth="0" connectionId="1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9" backgroundRefresh="0" growShrinkType="overwriteClear" preserveFormatting="0" adjustColumnWidth="0" connectionId="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12" backgroundRefresh="0" growShrinkType="overwriteClear" preserveFormatting="0" adjustColumnWidth="0" connectionId="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46" backgroundRefresh="0" growShrinkType="overwriteClear" preserveFormatting="0" adjustColumnWidth="0" connectionId="3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47" backgroundRefresh="0" growShrinkType="overwriteClear" preserveFormatting="0" adjustColumnWidth="0" connectionId="4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23" backgroundRefresh="0" growShrinkType="overwriteClear" preserveFormatting="0" adjustColumnWidth="0" connectionId="1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5" backgroundRefresh="0" growShrinkType="overwriteClear" preserveFormatting="0" adjustColumnWidth="0" connectionId="5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20" backgroundRefresh="0" growShrinkType="overwriteClear" preserveFormatting="0" adjustColumnWidth="0" connectionId="1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2" backgroundRefresh="0" growShrinkType="overwriteClear" connectionId="2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 backgroundRefresh="0" growShrinkType="overwriteClear" connectionId="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28" backgroundRefresh="0" growShrinkType="overwriteClear" preserveFormatting="0" adjustColumnWidth="0" connectionId="2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 backgroundRefresh="0" growShrinkType="overwriteClear" connectionId="4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xe.com/" TargetMode="External"/><Relationship Id="rId7" Type="http://schemas.openxmlformats.org/officeDocument/2006/relationships/printerSettings" Target="../printerSettings/printerSettings1.bin"/><Relationship Id="rId2" Type="http://schemas.openxmlformats.org/officeDocument/2006/relationships/hyperlink" Target="https://www.fx-exchange.com/" TargetMode="External"/><Relationship Id="rId1" Type="http://schemas.openxmlformats.org/officeDocument/2006/relationships/hyperlink" Target="https://www.exchangerates.org.uk/" TargetMode="External"/><Relationship Id="rId6" Type="http://schemas.openxmlformats.org/officeDocument/2006/relationships/hyperlink" Target="https://www.exchangerates.org.uk/" TargetMode="External"/><Relationship Id="rId5" Type="http://schemas.openxmlformats.org/officeDocument/2006/relationships/hyperlink" Target="https://www.fx-exchange.com/" TargetMode="External"/><Relationship Id="rId10" Type="http://schemas.openxmlformats.org/officeDocument/2006/relationships/ctrlProp" Target="../ctrlProps/ctrlProp1.xml"/><Relationship Id="rId4" Type="http://schemas.openxmlformats.org/officeDocument/2006/relationships/hyperlink" Target="https://www.xe.com/"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8.xml"/><Relationship Id="rId13" Type="http://schemas.openxmlformats.org/officeDocument/2006/relationships/queryTable" Target="../queryTables/queryTable13.xml"/><Relationship Id="rId3" Type="http://schemas.openxmlformats.org/officeDocument/2006/relationships/queryTable" Target="../queryTables/queryTable3.xml"/><Relationship Id="rId7" Type="http://schemas.openxmlformats.org/officeDocument/2006/relationships/queryTable" Target="../queryTables/queryTable7.xml"/><Relationship Id="rId12" Type="http://schemas.openxmlformats.org/officeDocument/2006/relationships/queryTable" Target="../queryTables/queryTable12.xml"/><Relationship Id="rId17" Type="http://schemas.openxmlformats.org/officeDocument/2006/relationships/queryTable" Target="../queryTables/queryTable17.xml"/><Relationship Id="rId2" Type="http://schemas.openxmlformats.org/officeDocument/2006/relationships/queryTable" Target="../queryTables/queryTable2.xml"/><Relationship Id="rId16" Type="http://schemas.openxmlformats.org/officeDocument/2006/relationships/queryTable" Target="../queryTables/queryTable16.xml"/><Relationship Id="rId1" Type="http://schemas.openxmlformats.org/officeDocument/2006/relationships/queryTable" Target="../queryTables/queryTable1.xml"/><Relationship Id="rId6" Type="http://schemas.openxmlformats.org/officeDocument/2006/relationships/queryTable" Target="../queryTables/queryTable6.xml"/><Relationship Id="rId11" Type="http://schemas.openxmlformats.org/officeDocument/2006/relationships/queryTable" Target="../queryTables/queryTable11.xml"/><Relationship Id="rId5" Type="http://schemas.openxmlformats.org/officeDocument/2006/relationships/queryTable" Target="../queryTables/queryTable5.xml"/><Relationship Id="rId15" Type="http://schemas.openxmlformats.org/officeDocument/2006/relationships/queryTable" Target="../queryTables/queryTable15.xml"/><Relationship Id="rId10" Type="http://schemas.openxmlformats.org/officeDocument/2006/relationships/queryTable" Target="../queryTables/queryTable10.xml"/><Relationship Id="rId4" Type="http://schemas.openxmlformats.org/officeDocument/2006/relationships/queryTable" Target="../queryTables/queryTable4.xml"/><Relationship Id="rId9" Type="http://schemas.openxmlformats.org/officeDocument/2006/relationships/queryTable" Target="../queryTables/queryTable9.xml"/><Relationship Id="rId14" Type="http://schemas.openxmlformats.org/officeDocument/2006/relationships/queryTable" Target="../queryTables/queryTable14.xml"/></Relationships>
</file>

<file path=xl/worksheets/_rels/sheet3.xml.rels><?xml version="1.0" encoding="UTF-8" standalone="yes"?>
<Relationships xmlns="http://schemas.openxmlformats.org/package/2006/relationships"><Relationship Id="rId13" Type="http://schemas.openxmlformats.org/officeDocument/2006/relationships/queryTable" Target="../queryTables/queryTable30.xml"/><Relationship Id="rId18" Type="http://schemas.openxmlformats.org/officeDocument/2006/relationships/queryTable" Target="../queryTables/queryTable35.xml"/><Relationship Id="rId26" Type="http://schemas.openxmlformats.org/officeDocument/2006/relationships/queryTable" Target="../queryTables/queryTable43.xml"/><Relationship Id="rId39" Type="http://schemas.openxmlformats.org/officeDocument/2006/relationships/queryTable" Target="../queryTables/queryTable56.xml"/><Relationship Id="rId21" Type="http://schemas.openxmlformats.org/officeDocument/2006/relationships/queryTable" Target="../queryTables/queryTable38.xml"/><Relationship Id="rId34" Type="http://schemas.openxmlformats.org/officeDocument/2006/relationships/queryTable" Target="../queryTables/queryTable51.xml"/><Relationship Id="rId42" Type="http://schemas.openxmlformats.org/officeDocument/2006/relationships/queryTable" Target="../queryTables/queryTable59.xml"/><Relationship Id="rId7" Type="http://schemas.openxmlformats.org/officeDocument/2006/relationships/queryTable" Target="../queryTables/queryTable24.xml"/><Relationship Id="rId2" Type="http://schemas.openxmlformats.org/officeDocument/2006/relationships/queryTable" Target="../queryTables/queryTable19.xml"/><Relationship Id="rId16" Type="http://schemas.openxmlformats.org/officeDocument/2006/relationships/queryTable" Target="../queryTables/queryTable33.xml"/><Relationship Id="rId20" Type="http://schemas.openxmlformats.org/officeDocument/2006/relationships/queryTable" Target="../queryTables/queryTable37.xml"/><Relationship Id="rId29" Type="http://schemas.openxmlformats.org/officeDocument/2006/relationships/queryTable" Target="../queryTables/queryTable46.xml"/><Relationship Id="rId41" Type="http://schemas.openxmlformats.org/officeDocument/2006/relationships/queryTable" Target="../queryTables/queryTable58.xml"/><Relationship Id="rId1" Type="http://schemas.openxmlformats.org/officeDocument/2006/relationships/queryTable" Target="../queryTables/queryTable18.xml"/><Relationship Id="rId6" Type="http://schemas.openxmlformats.org/officeDocument/2006/relationships/queryTable" Target="../queryTables/queryTable23.xml"/><Relationship Id="rId11" Type="http://schemas.openxmlformats.org/officeDocument/2006/relationships/queryTable" Target="../queryTables/queryTable28.xml"/><Relationship Id="rId24" Type="http://schemas.openxmlformats.org/officeDocument/2006/relationships/queryTable" Target="../queryTables/queryTable41.xml"/><Relationship Id="rId32" Type="http://schemas.openxmlformats.org/officeDocument/2006/relationships/queryTable" Target="../queryTables/queryTable49.xml"/><Relationship Id="rId37" Type="http://schemas.openxmlformats.org/officeDocument/2006/relationships/queryTable" Target="../queryTables/queryTable54.xml"/><Relationship Id="rId40" Type="http://schemas.openxmlformats.org/officeDocument/2006/relationships/queryTable" Target="../queryTables/queryTable57.xml"/><Relationship Id="rId5" Type="http://schemas.openxmlformats.org/officeDocument/2006/relationships/queryTable" Target="../queryTables/queryTable22.xml"/><Relationship Id="rId15" Type="http://schemas.openxmlformats.org/officeDocument/2006/relationships/queryTable" Target="../queryTables/queryTable32.xml"/><Relationship Id="rId23" Type="http://schemas.openxmlformats.org/officeDocument/2006/relationships/queryTable" Target="../queryTables/queryTable40.xml"/><Relationship Id="rId28" Type="http://schemas.openxmlformats.org/officeDocument/2006/relationships/queryTable" Target="../queryTables/queryTable45.xml"/><Relationship Id="rId36" Type="http://schemas.openxmlformats.org/officeDocument/2006/relationships/queryTable" Target="../queryTables/queryTable53.xml"/><Relationship Id="rId10" Type="http://schemas.openxmlformats.org/officeDocument/2006/relationships/queryTable" Target="../queryTables/queryTable27.xml"/><Relationship Id="rId19" Type="http://schemas.openxmlformats.org/officeDocument/2006/relationships/queryTable" Target="../queryTables/queryTable36.xml"/><Relationship Id="rId31" Type="http://schemas.openxmlformats.org/officeDocument/2006/relationships/queryTable" Target="../queryTables/queryTable48.xml"/><Relationship Id="rId4" Type="http://schemas.openxmlformats.org/officeDocument/2006/relationships/queryTable" Target="../queryTables/queryTable21.xml"/><Relationship Id="rId9" Type="http://schemas.openxmlformats.org/officeDocument/2006/relationships/queryTable" Target="../queryTables/queryTable26.xml"/><Relationship Id="rId14" Type="http://schemas.openxmlformats.org/officeDocument/2006/relationships/queryTable" Target="../queryTables/queryTable31.xml"/><Relationship Id="rId22" Type="http://schemas.openxmlformats.org/officeDocument/2006/relationships/queryTable" Target="../queryTables/queryTable39.xml"/><Relationship Id="rId27" Type="http://schemas.openxmlformats.org/officeDocument/2006/relationships/queryTable" Target="../queryTables/queryTable44.xml"/><Relationship Id="rId30" Type="http://schemas.openxmlformats.org/officeDocument/2006/relationships/queryTable" Target="../queryTables/queryTable47.xml"/><Relationship Id="rId35" Type="http://schemas.openxmlformats.org/officeDocument/2006/relationships/queryTable" Target="../queryTables/queryTable52.xml"/><Relationship Id="rId8" Type="http://schemas.openxmlformats.org/officeDocument/2006/relationships/queryTable" Target="../queryTables/queryTable25.xml"/><Relationship Id="rId3" Type="http://schemas.openxmlformats.org/officeDocument/2006/relationships/queryTable" Target="../queryTables/queryTable20.xml"/><Relationship Id="rId12" Type="http://schemas.openxmlformats.org/officeDocument/2006/relationships/queryTable" Target="../queryTables/queryTable29.xml"/><Relationship Id="rId17" Type="http://schemas.openxmlformats.org/officeDocument/2006/relationships/queryTable" Target="../queryTables/queryTable34.xml"/><Relationship Id="rId25" Type="http://schemas.openxmlformats.org/officeDocument/2006/relationships/queryTable" Target="../queryTables/queryTable42.xml"/><Relationship Id="rId33" Type="http://schemas.openxmlformats.org/officeDocument/2006/relationships/queryTable" Target="../queryTables/queryTable50.xml"/><Relationship Id="rId38" Type="http://schemas.openxmlformats.org/officeDocument/2006/relationships/queryTable" Target="../queryTables/queryTable5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3"/>
  <sheetViews>
    <sheetView showGridLines="0" tabSelected="1" workbookViewId="0"/>
  </sheetViews>
  <sheetFormatPr defaultRowHeight="13.8" x14ac:dyDescent="0.25"/>
  <cols>
    <col min="1" max="16384" width="8.88671875" style="6"/>
  </cols>
  <sheetData>
    <row r="1" spans="1:1" s="8" customFormat="1" x14ac:dyDescent="0.25">
      <c r="A1" s="8" t="s">
        <v>776</v>
      </c>
    </row>
    <row r="2" spans="1:1" s="8" customFormat="1" ht="14.4" x14ac:dyDescent="0.3">
      <c r="A2" s="9" t="s">
        <v>765</v>
      </c>
    </row>
    <row r="3" spans="1:1" s="8" customFormat="1" ht="12" customHeight="1" x14ac:dyDescent="0.25">
      <c r="A3" s="8" t="s">
        <v>766</v>
      </c>
    </row>
    <row r="4" spans="1:1" s="8" customFormat="1" ht="14.4" x14ac:dyDescent="0.3">
      <c r="A4" s="9" t="s">
        <v>767</v>
      </c>
    </row>
    <row r="5" spans="1:1" s="8" customFormat="1" ht="12" customHeight="1" x14ac:dyDescent="0.25">
      <c r="A5" s="8" t="s">
        <v>766</v>
      </c>
    </row>
    <row r="6" spans="1:1" s="8" customFormat="1" ht="14.4" x14ac:dyDescent="0.3">
      <c r="A6" s="9" t="s">
        <v>854</v>
      </c>
    </row>
    <row r="7" spans="1:1" s="8" customFormat="1" x14ac:dyDescent="0.25">
      <c r="A7" s="8" t="s">
        <v>768</v>
      </c>
    </row>
    <row r="8" spans="1:1" s="8" customFormat="1" ht="7.8" customHeight="1" x14ac:dyDescent="0.25"/>
    <row r="9" spans="1:1" s="8" customFormat="1" x14ac:dyDescent="0.25">
      <c r="A9" s="8" t="s">
        <v>769</v>
      </c>
    </row>
    <row r="12" spans="1:1" s="8" customFormat="1" x14ac:dyDescent="0.25">
      <c r="A12" s="8" t="s">
        <v>773</v>
      </c>
    </row>
    <row r="13" spans="1:1" s="8" customFormat="1" ht="14.4" x14ac:dyDescent="0.3">
      <c r="A13" s="9" t="s">
        <v>765</v>
      </c>
    </row>
    <row r="14" spans="1:1" s="8" customFormat="1" ht="12" customHeight="1" x14ac:dyDescent="0.25">
      <c r="A14" s="8" t="s">
        <v>770</v>
      </c>
    </row>
    <row r="15" spans="1:1" s="8" customFormat="1" ht="14.4" x14ac:dyDescent="0.3">
      <c r="A15" s="9" t="s">
        <v>767</v>
      </c>
    </row>
    <row r="16" spans="1:1" s="8" customFormat="1" ht="12" customHeight="1" x14ac:dyDescent="0.25">
      <c r="A16" s="8" t="s">
        <v>770</v>
      </c>
    </row>
    <row r="17" spans="1:1" s="8" customFormat="1" ht="14.4" x14ac:dyDescent="0.3">
      <c r="A17" s="9" t="s">
        <v>855</v>
      </c>
    </row>
    <row r="18" spans="1:1" s="8" customFormat="1" x14ac:dyDescent="0.25">
      <c r="A18" s="8" t="s">
        <v>771</v>
      </c>
    </row>
    <row r="19" spans="1:1" s="8" customFormat="1" ht="7.2" customHeight="1" x14ac:dyDescent="0.25"/>
    <row r="20" spans="1:1" s="8" customFormat="1" x14ac:dyDescent="0.25">
      <c r="A20" s="8" t="s">
        <v>772</v>
      </c>
    </row>
    <row r="23" spans="1:1" x14ac:dyDescent="0.25">
      <c r="A23" s="7" t="s">
        <v>143</v>
      </c>
    </row>
  </sheetData>
  <hyperlinks>
    <hyperlink ref="A6" r:id="rId1"/>
    <hyperlink ref="A4" r:id="rId2"/>
    <hyperlink ref="A2" r:id="rId3"/>
    <hyperlink ref="A13" r:id="rId4"/>
    <hyperlink ref="A15" r:id="rId5"/>
    <hyperlink ref="A17" r:id="rId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RunForm">
                <anchor moveWithCells="1" sizeWithCells="1">
                  <from>
                    <xdr:col>0</xdr:col>
                    <xdr:colOff>0</xdr:colOff>
                    <xdr:row>23</xdr:row>
                    <xdr:rowOff>60960</xdr:rowOff>
                  </from>
                  <to>
                    <xdr:col>4</xdr:col>
                    <xdr:colOff>91440</xdr:colOff>
                    <xdr:row>29</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378"/>
  <sheetViews>
    <sheetView topLeftCell="A174" workbookViewId="0">
      <selection activeCell="F147" sqref="F147"/>
    </sheetView>
  </sheetViews>
  <sheetFormatPr defaultRowHeight="14.4" x14ac:dyDescent="0.3"/>
  <cols>
    <col min="1" max="1" width="9.77734375" customWidth="1"/>
    <col min="2" max="2" width="27.88671875" customWidth="1"/>
    <col min="3" max="3" width="12.21875" customWidth="1"/>
    <col min="4" max="4" width="12" customWidth="1"/>
    <col min="5" max="5" width="33.88671875" bestFit="1" customWidth="1"/>
    <col min="6" max="6" width="21.88671875" bestFit="1" customWidth="1"/>
    <col min="7" max="7" width="8.6640625" customWidth="1"/>
    <col min="8" max="8" width="15.109375" bestFit="1" customWidth="1"/>
    <col min="9" max="9" width="10.109375" bestFit="1" customWidth="1"/>
  </cols>
  <sheetData>
    <row r="1" spans="1:1" x14ac:dyDescent="0.3">
      <c r="A1" t="s">
        <v>420</v>
      </c>
    </row>
    <row r="2" spans="1:1" x14ac:dyDescent="0.3">
      <c r="A2" t="s">
        <v>421</v>
      </c>
    </row>
    <row r="3" spans="1:1" x14ac:dyDescent="0.3">
      <c r="A3" t="s">
        <v>422</v>
      </c>
    </row>
    <row r="4" spans="1:1" x14ac:dyDescent="0.3">
      <c r="A4" t="s">
        <v>423</v>
      </c>
    </row>
    <row r="5" spans="1:1" x14ac:dyDescent="0.3">
      <c r="A5" t="s">
        <v>117</v>
      </c>
    </row>
    <row r="6" spans="1:1" x14ac:dyDescent="0.3">
      <c r="A6" t="s">
        <v>424</v>
      </c>
    </row>
    <row r="7" spans="1:1" x14ac:dyDescent="0.3">
      <c r="A7" t="s">
        <v>425</v>
      </c>
    </row>
    <row r="8" spans="1:1" x14ac:dyDescent="0.3">
      <c r="A8" t="s">
        <v>426</v>
      </c>
    </row>
    <row r="9" spans="1:1" x14ac:dyDescent="0.3">
      <c r="A9" t="s">
        <v>427</v>
      </c>
    </row>
    <row r="10" spans="1:1" x14ac:dyDescent="0.3">
      <c r="A10" t="s">
        <v>428</v>
      </c>
    </row>
    <row r="11" spans="1:1" x14ac:dyDescent="0.3">
      <c r="A11" t="s">
        <v>429</v>
      </c>
    </row>
    <row r="12" spans="1:1" x14ac:dyDescent="0.3">
      <c r="A12" t="s">
        <v>430</v>
      </c>
    </row>
    <row r="13" spans="1:1" x14ac:dyDescent="0.3">
      <c r="A13" t="s">
        <v>431</v>
      </c>
    </row>
    <row r="14" spans="1:1" x14ac:dyDescent="0.3">
      <c r="A14" t="s">
        <v>432</v>
      </c>
    </row>
    <row r="15" spans="1:1" x14ac:dyDescent="0.3">
      <c r="A15" t="s">
        <v>433</v>
      </c>
    </row>
    <row r="16" spans="1:1" x14ac:dyDescent="0.3">
      <c r="A16" t="s">
        <v>434</v>
      </c>
    </row>
    <row r="17" spans="1:1" x14ac:dyDescent="0.3">
      <c r="A17" t="s">
        <v>435</v>
      </c>
    </row>
    <row r="18" spans="1:1" x14ac:dyDescent="0.3">
      <c r="A18" t="s">
        <v>436</v>
      </c>
    </row>
    <row r="19" spans="1:1" x14ac:dyDescent="0.3">
      <c r="A19" t="s">
        <v>437</v>
      </c>
    </row>
    <row r="20" spans="1:1" x14ac:dyDescent="0.3">
      <c r="A20" t="s">
        <v>438</v>
      </c>
    </row>
    <row r="21" spans="1:1" x14ac:dyDescent="0.3">
      <c r="A21" t="s">
        <v>439</v>
      </c>
    </row>
    <row r="22" spans="1:1" x14ac:dyDescent="0.3">
      <c r="A22" t="s">
        <v>440</v>
      </c>
    </row>
    <row r="23" spans="1:1" x14ac:dyDescent="0.3">
      <c r="A23" t="s">
        <v>441</v>
      </c>
    </row>
    <row r="24" spans="1:1" x14ac:dyDescent="0.3">
      <c r="A24" t="s">
        <v>442</v>
      </c>
    </row>
    <row r="25" spans="1:1" x14ac:dyDescent="0.3">
      <c r="A25" t="s">
        <v>443</v>
      </c>
    </row>
    <row r="26" spans="1:1" x14ac:dyDescent="0.3">
      <c r="A26" t="s">
        <v>444</v>
      </c>
    </row>
    <row r="27" spans="1:1" x14ac:dyDescent="0.3">
      <c r="A27" t="s">
        <v>425</v>
      </c>
    </row>
    <row r="28" spans="1:1" x14ac:dyDescent="0.3">
      <c r="A28" t="s">
        <v>445</v>
      </c>
    </row>
    <row r="29" spans="1:1" x14ac:dyDescent="0.3">
      <c r="A29" t="s">
        <v>444</v>
      </c>
    </row>
    <row r="30" spans="1:1" x14ac:dyDescent="0.3">
      <c r="A30" t="s">
        <v>425</v>
      </c>
    </row>
    <row r="31" spans="1:1" x14ac:dyDescent="0.3">
      <c r="A31" t="s">
        <v>446</v>
      </c>
    </row>
    <row r="34" spans="1:1" x14ac:dyDescent="0.3">
      <c r="A34" t="s">
        <v>447</v>
      </c>
    </row>
    <row r="37" spans="1:1" x14ac:dyDescent="0.3">
      <c r="A37" t="s">
        <v>448</v>
      </c>
    </row>
    <row r="40" spans="1:1" x14ac:dyDescent="0.3">
      <c r="A40" t="s">
        <v>423</v>
      </c>
    </row>
    <row r="41" spans="1:1" x14ac:dyDescent="0.3">
      <c r="A41" t="s">
        <v>117</v>
      </c>
    </row>
    <row r="42" spans="1:1" x14ac:dyDescent="0.3">
      <c r="A42" t="s">
        <v>424</v>
      </c>
    </row>
    <row r="43" spans="1:1" x14ac:dyDescent="0.3">
      <c r="A43" t="s">
        <v>425</v>
      </c>
    </row>
    <row r="44" spans="1:1" x14ac:dyDescent="0.3">
      <c r="A44" t="s">
        <v>426</v>
      </c>
    </row>
    <row r="45" spans="1:1" x14ac:dyDescent="0.3">
      <c r="A45" t="s">
        <v>427</v>
      </c>
    </row>
    <row r="46" spans="1:1" x14ac:dyDescent="0.3">
      <c r="A46" t="s">
        <v>428</v>
      </c>
    </row>
    <row r="47" spans="1:1" x14ac:dyDescent="0.3">
      <c r="A47" t="s">
        <v>429</v>
      </c>
    </row>
    <row r="48" spans="1:1" x14ac:dyDescent="0.3">
      <c r="A48" t="s">
        <v>430</v>
      </c>
    </row>
    <row r="49" spans="1:1" x14ac:dyDescent="0.3">
      <c r="A49" t="s">
        <v>431</v>
      </c>
    </row>
    <row r="50" spans="1:1" x14ac:dyDescent="0.3">
      <c r="A50" t="s">
        <v>432</v>
      </c>
    </row>
    <row r="51" spans="1:1" x14ac:dyDescent="0.3">
      <c r="A51" t="s">
        <v>433</v>
      </c>
    </row>
    <row r="54" spans="1:1" x14ac:dyDescent="0.3">
      <c r="A54" t="s">
        <v>434</v>
      </c>
    </row>
    <row r="55" spans="1:1" x14ac:dyDescent="0.3">
      <c r="A55" t="s">
        <v>435</v>
      </c>
    </row>
    <row r="56" spans="1:1" x14ac:dyDescent="0.3">
      <c r="A56" t="s">
        <v>436</v>
      </c>
    </row>
    <row r="57" spans="1:1" x14ac:dyDescent="0.3">
      <c r="A57" t="s">
        <v>437</v>
      </c>
    </row>
    <row r="58" spans="1:1" x14ac:dyDescent="0.3">
      <c r="A58" t="s">
        <v>438</v>
      </c>
    </row>
    <row r="59" spans="1:1" x14ac:dyDescent="0.3">
      <c r="A59" t="s">
        <v>439</v>
      </c>
    </row>
    <row r="60" spans="1:1" x14ac:dyDescent="0.3">
      <c r="A60" t="s">
        <v>440</v>
      </c>
    </row>
    <row r="61" spans="1:1" x14ac:dyDescent="0.3">
      <c r="A61" t="s">
        <v>441</v>
      </c>
    </row>
    <row r="62" spans="1:1" x14ac:dyDescent="0.3">
      <c r="A62" t="s">
        <v>442</v>
      </c>
    </row>
    <row r="65" spans="1:1" x14ac:dyDescent="0.3">
      <c r="A65" t="s">
        <v>443</v>
      </c>
    </row>
    <row r="66" spans="1:1" x14ac:dyDescent="0.3">
      <c r="A66" t="s">
        <v>443</v>
      </c>
    </row>
    <row r="68" spans="1:1" x14ac:dyDescent="0.3">
      <c r="A68" t="s">
        <v>444</v>
      </c>
    </row>
    <row r="69" spans="1:1" x14ac:dyDescent="0.3">
      <c r="A69" t="s">
        <v>425</v>
      </c>
    </row>
    <row r="70" spans="1:1" x14ac:dyDescent="0.3">
      <c r="A70" t="s">
        <v>445</v>
      </c>
    </row>
    <row r="71" spans="1:1" x14ac:dyDescent="0.3">
      <c r="A71" t="s">
        <v>445</v>
      </c>
    </row>
    <row r="73" spans="1:1" x14ac:dyDescent="0.3">
      <c r="A73" t="s">
        <v>444</v>
      </c>
    </row>
    <row r="74" spans="1:1" x14ac:dyDescent="0.3">
      <c r="A74" t="s">
        <v>425</v>
      </c>
    </row>
    <row r="75" spans="1:1" x14ac:dyDescent="0.3">
      <c r="A75" t="s">
        <v>116</v>
      </c>
    </row>
    <row r="76" spans="1:1" x14ac:dyDescent="0.3">
      <c r="A76" t="s">
        <v>449</v>
      </c>
    </row>
    <row r="77" spans="1:1" x14ac:dyDescent="0.3">
      <c r="A77" t="s">
        <v>110</v>
      </c>
    </row>
    <row r="79" spans="1:1" x14ac:dyDescent="0.3">
      <c r="A79" t="s">
        <v>450</v>
      </c>
    </row>
    <row r="81" spans="1:4" x14ac:dyDescent="0.3">
      <c r="A81" t="s">
        <v>451</v>
      </c>
    </row>
    <row r="83" spans="1:4" x14ac:dyDescent="0.3">
      <c r="A83" t="s">
        <v>452</v>
      </c>
    </row>
    <row r="85" spans="1:4" x14ac:dyDescent="0.3">
      <c r="A85" t="s">
        <v>453</v>
      </c>
    </row>
    <row r="86" spans="1:4" x14ac:dyDescent="0.3">
      <c r="A86" t="s">
        <v>761</v>
      </c>
    </row>
    <row r="87" spans="1:4" x14ac:dyDescent="0.3">
      <c r="A87" t="s">
        <v>153</v>
      </c>
    </row>
    <row r="89" spans="1:4" x14ac:dyDescent="0.3">
      <c r="A89" t="s">
        <v>454</v>
      </c>
    </row>
    <row r="91" spans="1:4" x14ac:dyDescent="0.3">
      <c r="A91" t="s">
        <v>762</v>
      </c>
    </row>
    <row r="93" spans="1:4" x14ac:dyDescent="0.3">
      <c r="A93" t="s">
        <v>455</v>
      </c>
    </row>
    <row r="95" spans="1:4" x14ac:dyDescent="0.3">
      <c r="A95" t="s">
        <v>856</v>
      </c>
    </row>
    <row r="96" spans="1:4" x14ac:dyDescent="0.3">
      <c r="A96" t="s">
        <v>453</v>
      </c>
      <c r="B96" t="s">
        <v>456</v>
      </c>
      <c r="C96" t="s">
        <v>763</v>
      </c>
      <c r="D96" t="s">
        <v>764</v>
      </c>
    </row>
    <row r="97" spans="1:5" x14ac:dyDescent="0.3">
      <c r="A97" t="s">
        <v>110</v>
      </c>
      <c r="B97" t="s">
        <v>111</v>
      </c>
      <c r="C97">
        <v>1</v>
      </c>
      <c r="D97">
        <v>1</v>
      </c>
    </row>
    <row r="98" spans="1:5" x14ac:dyDescent="0.3">
      <c r="A98" t="s">
        <v>32</v>
      </c>
      <c r="B98" t="s">
        <v>33</v>
      </c>
      <c r="C98">
        <v>0.92851283242282601</v>
      </c>
      <c r="D98">
        <v>1.07699103887518</v>
      </c>
    </row>
    <row r="99" spans="1:5" x14ac:dyDescent="0.3">
      <c r="A99" t="s">
        <v>10</v>
      </c>
      <c r="B99" t="s">
        <v>11</v>
      </c>
      <c r="C99">
        <v>0.79463655149642898</v>
      </c>
      <c r="D99">
        <v>1.25843695223538</v>
      </c>
    </row>
    <row r="100" spans="1:5" x14ac:dyDescent="0.3">
      <c r="A100" t="s">
        <v>40</v>
      </c>
      <c r="B100" t="s">
        <v>41</v>
      </c>
      <c r="C100">
        <v>83.051378292162795</v>
      </c>
      <c r="D100">
        <v>1.2040739365963799E-2</v>
      </c>
    </row>
    <row r="101" spans="1:5" x14ac:dyDescent="0.3">
      <c r="A101" t="s">
        <v>2</v>
      </c>
      <c r="B101" t="s">
        <v>3</v>
      </c>
      <c r="C101">
        <v>1.5302853039576101</v>
      </c>
      <c r="D101">
        <v>0.65347291607245095</v>
      </c>
    </row>
    <row r="102" spans="1:5" x14ac:dyDescent="0.3">
      <c r="A102" t="s">
        <v>12</v>
      </c>
      <c r="B102" t="s">
        <v>13</v>
      </c>
      <c r="C102">
        <v>1.3492043218096601</v>
      </c>
      <c r="D102">
        <v>0.74117758432519498</v>
      </c>
    </row>
    <row r="103" spans="1:5" x14ac:dyDescent="0.3">
      <c r="A103" t="s">
        <v>92</v>
      </c>
      <c r="B103" t="s">
        <v>93</v>
      </c>
      <c r="C103">
        <v>1.34641346675284</v>
      </c>
      <c r="D103">
        <v>0.74271390229905299</v>
      </c>
    </row>
    <row r="104" spans="1:5" x14ac:dyDescent="0.3">
      <c r="A104" t="s">
        <v>102</v>
      </c>
      <c r="B104" t="s">
        <v>103</v>
      </c>
      <c r="C104">
        <v>0.88194861121386103</v>
      </c>
      <c r="D104">
        <v>1.1338529107990301</v>
      </c>
    </row>
    <row r="105" spans="1:5" x14ac:dyDescent="0.3">
      <c r="A105" t="s">
        <v>60</v>
      </c>
      <c r="B105" s="5" t="s">
        <v>61</v>
      </c>
      <c r="C105">
        <v>4.7863574813470597</v>
      </c>
      <c r="D105">
        <v>0.208927144263065</v>
      </c>
    </row>
    <row r="106" spans="1:5" x14ac:dyDescent="0.3">
      <c r="A106" t="s">
        <v>48</v>
      </c>
      <c r="B106" s="5" t="s">
        <v>49</v>
      </c>
      <c r="C106">
        <v>150.17981085920701</v>
      </c>
      <c r="D106">
        <v>6.6586846412897199E-3</v>
      </c>
    </row>
    <row r="107" spans="1:5" x14ac:dyDescent="0.3">
      <c r="A107" t="s">
        <v>18</v>
      </c>
      <c r="B107" s="5" t="s">
        <v>168</v>
      </c>
      <c r="C107">
        <v>7.1974697036476396</v>
      </c>
      <c r="D107">
        <v>0.13893771577714301</v>
      </c>
    </row>
    <row r="108" spans="1:5" x14ac:dyDescent="0.3">
      <c r="A108" s="1" t="s">
        <v>70</v>
      </c>
      <c r="B108" s="5" t="s">
        <v>71</v>
      </c>
      <c r="C108">
        <v>1.62798880879065</v>
      </c>
      <c r="D108">
        <v>0.61425483676564296</v>
      </c>
    </row>
    <row r="109" spans="1:5" x14ac:dyDescent="0.3">
      <c r="A109" t="s">
        <v>104</v>
      </c>
      <c r="B109" s="5" t="s">
        <v>105</v>
      </c>
      <c r="C109">
        <v>36.063083388610103</v>
      </c>
      <c r="D109">
        <v>2.7729187469195501E-2</v>
      </c>
    </row>
    <row r="110" spans="1:5" x14ac:dyDescent="0.3">
      <c r="A110" t="s">
        <v>36</v>
      </c>
      <c r="B110" s="5" t="s">
        <v>37</v>
      </c>
      <c r="C110">
        <v>360.927121086314</v>
      </c>
      <c r="D110">
        <v>2.7706424415826999E-3</v>
      </c>
    </row>
    <row r="111" spans="1:5" x14ac:dyDescent="0.3">
      <c r="A111" t="s">
        <v>108</v>
      </c>
      <c r="B111" s="5" t="s">
        <v>457</v>
      </c>
      <c r="C111">
        <v>3.6724999999999999</v>
      </c>
      <c r="D111">
        <v>0.27229407760381202</v>
      </c>
      <c r="E111" t="s">
        <v>175</v>
      </c>
    </row>
    <row r="112" spans="1:5" x14ac:dyDescent="0.3">
      <c r="A112" t="s">
        <v>34</v>
      </c>
      <c r="B112" s="5" t="s">
        <v>35</v>
      </c>
      <c r="C112">
        <v>7.82116189472905</v>
      </c>
      <c r="D112">
        <v>0.12785824068850099</v>
      </c>
      <c r="E112" t="s">
        <v>177</v>
      </c>
    </row>
    <row r="113" spans="1:5" x14ac:dyDescent="0.3">
      <c r="A113" t="s">
        <v>62</v>
      </c>
      <c r="B113" t="s">
        <v>63</v>
      </c>
      <c r="C113">
        <v>17.055518241973601</v>
      </c>
      <c r="D113">
        <v>5.8632050097369499E-2</v>
      </c>
      <c r="E113" t="s">
        <v>179</v>
      </c>
    </row>
    <row r="114" spans="1:5" x14ac:dyDescent="0.3">
      <c r="A114" t="s">
        <v>94</v>
      </c>
      <c r="B114" t="s">
        <v>95</v>
      </c>
      <c r="C114">
        <v>18.958788344509799</v>
      </c>
      <c r="D114">
        <v>5.2745986812473798E-2</v>
      </c>
      <c r="E114" t="s">
        <v>181</v>
      </c>
    </row>
    <row r="115" spans="1:5" x14ac:dyDescent="0.3">
      <c r="A115" t="s">
        <v>80</v>
      </c>
      <c r="B115" t="s">
        <v>81</v>
      </c>
      <c r="C115">
        <v>56.040163845531701</v>
      </c>
      <c r="D115">
        <v>1.7844344687434899E-2</v>
      </c>
      <c r="E115" t="s">
        <v>182</v>
      </c>
    </row>
    <row r="116" spans="1:5" x14ac:dyDescent="0.3">
      <c r="A116" t="s">
        <v>100</v>
      </c>
      <c r="B116" t="s">
        <v>101</v>
      </c>
      <c r="C116">
        <v>10.4131827557006</v>
      </c>
      <c r="D116">
        <v>9.6032118465658997E-2</v>
      </c>
      <c r="E116" t="s">
        <v>184</v>
      </c>
    </row>
    <row r="117" spans="1:5" x14ac:dyDescent="0.3">
      <c r="A117" t="s">
        <v>42</v>
      </c>
      <c r="B117" t="s">
        <v>43</v>
      </c>
      <c r="C117">
        <v>15633.7518594626</v>
      </c>
      <c r="D117">
        <v>6.3964172451331995E-5</v>
      </c>
      <c r="E117" t="s">
        <v>186</v>
      </c>
    </row>
    <row r="118" spans="1:5" x14ac:dyDescent="0.3">
      <c r="A118" t="s">
        <v>8</v>
      </c>
      <c r="B118" t="s">
        <v>9</v>
      </c>
      <c r="C118">
        <v>4.9615391852556501</v>
      </c>
      <c r="D118">
        <v>0.20155035819765901</v>
      </c>
      <c r="E118" t="s">
        <v>188</v>
      </c>
    </row>
    <row r="119" spans="1:5" x14ac:dyDescent="0.3">
      <c r="A119" t="s">
        <v>90</v>
      </c>
      <c r="B119" t="s">
        <v>458</v>
      </c>
      <c r="C119">
        <v>3.75</v>
      </c>
      <c r="D119">
        <v>0.266666666666666</v>
      </c>
      <c r="E119" t="s">
        <v>190</v>
      </c>
    </row>
    <row r="120" spans="1:5" x14ac:dyDescent="0.3">
      <c r="A120" t="s">
        <v>106</v>
      </c>
      <c r="B120" t="s">
        <v>107</v>
      </c>
      <c r="C120">
        <v>30.875900608629699</v>
      </c>
      <c r="D120">
        <v>3.2387719233702303E-2</v>
      </c>
      <c r="E120" t="s">
        <v>192</v>
      </c>
    </row>
    <row r="121" spans="1:5" x14ac:dyDescent="0.3">
      <c r="A121" t="s">
        <v>52</v>
      </c>
      <c r="B121" t="s">
        <v>53</v>
      </c>
      <c r="C121">
        <v>141.68144743624799</v>
      </c>
      <c r="D121">
        <v>7.0580871249918999E-3</v>
      </c>
      <c r="E121" t="s">
        <v>194</v>
      </c>
    </row>
    <row r="122" spans="1:5" x14ac:dyDescent="0.3">
      <c r="A122" t="s">
        <v>96</v>
      </c>
      <c r="B122" t="s">
        <v>97</v>
      </c>
      <c r="C122">
        <v>1335.16885356219</v>
      </c>
      <c r="D122">
        <v>7.48968939270883E-4</v>
      </c>
      <c r="E122" t="s">
        <v>196</v>
      </c>
    </row>
    <row r="123" spans="1:5" x14ac:dyDescent="0.3">
      <c r="A123" t="s">
        <v>28</v>
      </c>
      <c r="B123" t="s">
        <v>29</v>
      </c>
      <c r="C123">
        <v>30.897478812755701</v>
      </c>
      <c r="D123">
        <v>3.2365100274367897E-2</v>
      </c>
      <c r="E123" t="s">
        <v>198</v>
      </c>
    </row>
    <row r="124" spans="1:5" x14ac:dyDescent="0.3">
      <c r="A124" t="s">
        <v>459</v>
      </c>
      <c r="B124" t="s">
        <v>132</v>
      </c>
      <c r="C124">
        <v>1309.56937749335</v>
      </c>
      <c r="D124">
        <v>7.6360979203262704E-4</v>
      </c>
      <c r="E124" t="s">
        <v>200</v>
      </c>
    </row>
    <row r="125" spans="1:5" x14ac:dyDescent="0.3">
      <c r="A125" t="s">
        <v>72</v>
      </c>
      <c r="B125" t="s">
        <v>73</v>
      </c>
      <c r="C125">
        <v>10.4966161613909</v>
      </c>
      <c r="D125">
        <v>9.5268797546225997E-2</v>
      </c>
      <c r="E125" t="s">
        <v>202</v>
      </c>
    </row>
    <row r="126" spans="1:5" x14ac:dyDescent="0.3">
      <c r="A126" t="s">
        <v>460</v>
      </c>
      <c r="B126" t="s">
        <v>133</v>
      </c>
      <c r="C126">
        <v>0.30798594174747002</v>
      </c>
      <c r="D126">
        <v>3.2469014472743001</v>
      </c>
      <c r="E126" t="s">
        <v>204</v>
      </c>
    </row>
    <row r="127" spans="1:5" x14ac:dyDescent="0.3">
      <c r="A127" t="s">
        <v>88</v>
      </c>
      <c r="B127" t="s">
        <v>170</v>
      </c>
      <c r="C127">
        <v>91.811427970030493</v>
      </c>
      <c r="D127">
        <v>1.08918902810925E-2</v>
      </c>
      <c r="E127" t="s">
        <v>206</v>
      </c>
    </row>
    <row r="128" spans="1:5" x14ac:dyDescent="0.3">
      <c r="A128" t="s">
        <v>24</v>
      </c>
      <c r="B128" t="s">
        <v>25</v>
      </c>
      <c r="C128">
        <v>6.9219193417614404</v>
      </c>
      <c r="D128">
        <v>0.14446860048870799</v>
      </c>
      <c r="E128" t="s">
        <v>207</v>
      </c>
    </row>
    <row r="129" spans="1:9" x14ac:dyDescent="0.3">
      <c r="A129" t="s">
        <v>76</v>
      </c>
      <c r="B129" t="s">
        <v>77</v>
      </c>
      <c r="C129">
        <v>279.48739891197499</v>
      </c>
      <c r="D129">
        <v>3.5779788423124801E-3</v>
      </c>
      <c r="E129" t="s">
        <v>209</v>
      </c>
    </row>
    <row r="130" spans="1:9" x14ac:dyDescent="0.3">
      <c r="A130" t="s">
        <v>44</v>
      </c>
      <c r="B130" t="s">
        <v>461</v>
      </c>
      <c r="C130">
        <v>3.6338594796094599</v>
      </c>
      <c r="D130">
        <v>0.275189507357469</v>
      </c>
    </row>
    <row r="131" spans="1:9" x14ac:dyDescent="0.3">
      <c r="A131" t="s">
        <v>82</v>
      </c>
      <c r="B131" t="s">
        <v>83</v>
      </c>
      <c r="C131">
        <v>4.0182031732499999</v>
      </c>
      <c r="D131">
        <v>0.24886745564714199</v>
      </c>
    </row>
    <row r="132" spans="1:9" x14ac:dyDescent="0.3">
      <c r="A132" t="s">
        <v>84</v>
      </c>
      <c r="B132" t="s">
        <v>85</v>
      </c>
      <c r="C132">
        <v>3.64</v>
      </c>
      <c r="D132">
        <v>0.27472527472527403</v>
      </c>
    </row>
    <row r="133" spans="1:9" x14ac:dyDescent="0.3">
      <c r="A133" t="s">
        <v>462</v>
      </c>
      <c r="B133" t="s">
        <v>463</v>
      </c>
      <c r="C133" s="4">
        <v>4.9597628281185496E-4</v>
      </c>
      <c r="D133">
        <v>2016.2254419317501</v>
      </c>
    </row>
    <row r="134" spans="1:9" x14ac:dyDescent="0.3">
      <c r="A134" t="s">
        <v>74</v>
      </c>
      <c r="B134" t="s">
        <v>75</v>
      </c>
      <c r="C134">
        <v>0.38498864113790499</v>
      </c>
      <c r="D134">
        <v>2.5974792322295901</v>
      </c>
    </row>
    <row r="135" spans="1:9" x14ac:dyDescent="0.3">
      <c r="A135" t="s">
        <v>464</v>
      </c>
      <c r="B135" t="s">
        <v>128</v>
      </c>
      <c r="C135">
        <v>3913.3060281817602</v>
      </c>
      <c r="D135">
        <v>2.55538409927176E-4</v>
      </c>
    </row>
    <row r="136" spans="1:9" x14ac:dyDescent="0.3">
      <c r="A136" t="s">
        <v>16</v>
      </c>
      <c r="B136" t="s">
        <v>17</v>
      </c>
      <c r="C136">
        <v>965.33438459774004</v>
      </c>
      <c r="D136">
        <v>1.03591047408583E-3</v>
      </c>
    </row>
    <row r="137" spans="1:9" x14ac:dyDescent="0.3">
      <c r="A137" t="s">
        <v>465</v>
      </c>
      <c r="B137" t="s">
        <v>466</v>
      </c>
      <c r="C137">
        <v>31.412360181958501</v>
      </c>
      <c r="D137">
        <v>3.18346025006533E-2</v>
      </c>
    </row>
    <row r="138" spans="1:9" x14ac:dyDescent="0.3">
      <c r="A138" t="s">
        <v>0</v>
      </c>
      <c r="B138" t="s">
        <v>1</v>
      </c>
      <c r="C138">
        <v>836.74446551148299</v>
      </c>
      <c r="D138">
        <v>1.19510799439673E-3</v>
      </c>
    </row>
    <row r="139" spans="1:9" x14ac:dyDescent="0.3">
      <c r="A139" t="s">
        <v>22</v>
      </c>
      <c r="B139" t="s">
        <v>23</v>
      </c>
      <c r="C139">
        <v>23.667964221174898</v>
      </c>
      <c r="D139">
        <v>4.2251204651785501E-2</v>
      </c>
    </row>
    <row r="140" spans="1:9" x14ac:dyDescent="0.3">
      <c r="A140" t="s">
        <v>467</v>
      </c>
      <c r="B140" t="s">
        <v>154</v>
      </c>
      <c r="C140">
        <v>24464.886216905099</v>
      </c>
      <c r="D140">
        <v>4.0874909089460701E-5</v>
      </c>
    </row>
    <row r="141" spans="1:9" x14ac:dyDescent="0.3">
      <c r="A141" t="s">
        <v>64</v>
      </c>
      <c r="B141" t="s">
        <v>65</v>
      </c>
      <c r="C141">
        <v>10.088190743569699</v>
      </c>
      <c r="D141">
        <v>9.9125802179881095E-2</v>
      </c>
    </row>
    <row r="142" spans="1:9" x14ac:dyDescent="0.3">
      <c r="A142" t="s">
        <v>50</v>
      </c>
      <c r="B142" t="s">
        <v>51</v>
      </c>
      <c r="C142">
        <v>0.70899999999999996</v>
      </c>
      <c r="D142">
        <v>1.4104372355430099</v>
      </c>
    </row>
    <row r="143" spans="1:9" x14ac:dyDescent="0.3">
      <c r="A143" t="s">
        <v>4</v>
      </c>
      <c r="B143" t="s">
        <v>5</v>
      </c>
      <c r="C143">
        <v>0.376</v>
      </c>
      <c r="D143">
        <v>2.6595744680851001</v>
      </c>
      <c r="F143" t="s">
        <v>419</v>
      </c>
    </row>
    <row r="144" spans="1:9" x14ac:dyDescent="0.3">
      <c r="A144" t="s">
        <v>114</v>
      </c>
      <c r="B144" t="s">
        <v>468</v>
      </c>
      <c r="C144">
        <v>609.06449201758005</v>
      </c>
      <c r="D144">
        <v>1.64186225450019E-3</v>
      </c>
      <c r="E144" t="s">
        <v>210</v>
      </c>
      <c r="F144" t="s">
        <v>118</v>
      </c>
      <c r="G144" t="s">
        <v>119</v>
      </c>
      <c r="H144" t="s">
        <v>211</v>
      </c>
      <c r="I144" t="s">
        <v>118</v>
      </c>
    </row>
    <row r="145" spans="1:9" x14ac:dyDescent="0.3">
      <c r="A145" t="s">
        <v>98</v>
      </c>
      <c r="B145" t="s">
        <v>99</v>
      </c>
      <c r="C145">
        <v>312.13318021577402</v>
      </c>
      <c r="D145">
        <v>3.2037606489278398E-3</v>
      </c>
      <c r="E145">
        <v>0.115</v>
      </c>
      <c r="F145" t="s">
        <v>212</v>
      </c>
      <c r="G145" t="s">
        <v>121</v>
      </c>
      <c r="H145">
        <v>8.6929999999999996</v>
      </c>
      <c r="I145" t="s">
        <v>213</v>
      </c>
    </row>
    <row r="146" spans="1:9" x14ac:dyDescent="0.3">
      <c r="A146" t="s">
        <v>469</v>
      </c>
      <c r="B146" t="s">
        <v>470</v>
      </c>
      <c r="C146">
        <v>38.3052572226743</v>
      </c>
      <c r="D146">
        <v>2.6106077142018499E-2</v>
      </c>
      <c r="E146">
        <v>1E-3</v>
      </c>
      <c r="F146" t="s">
        <v>185</v>
      </c>
      <c r="G146" t="s">
        <v>121</v>
      </c>
      <c r="H146">
        <v>1053.1189999999999</v>
      </c>
      <c r="I146" t="s">
        <v>176</v>
      </c>
    </row>
    <row r="147" spans="1:9" x14ac:dyDescent="0.3">
      <c r="A147" t="s">
        <v>471</v>
      </c>
      <c r="B147" t="s">
        <v>137</v>
      </c>
      <c r="C147">
        <v>1528.7373635643801</v>
      </c>
      <c r="D147">
        <v>6.54134597501048E-4</v>
      </c>
      <c r="E147">
        <v>2E-3</v>
      </c>
      <c r="F147" t="s">
        <v>214</v>
      </c>
      <c r="G147" t="s">
        <v>121</v>
      </c>
      <c r="H147">
        <v>460.822</v>
      </c>
      <c r="I147" t="s">
        <v>215</v>
      </c>
    </row>
    <row r="148" spans="1:9" x14ac:dyDescent="0.3">
      <c r="A148" t="s">
        <v>472</v>
      </c>
      <c r="B148" t="s">
        <v>139</v>
      </c>
      <c r="C148">
        <v>3.1333635633307901</v>
      </c>
      <c r="D148">
        <v>0.31914585709198301</v>
      </c>
      <c r="E148">
        <v>8.0000000000000002E-3</v>
      </c>
      <c r="F148" t="s">
        <v>216</v>
      </c>
      <c r="G148" t="s">
        <v>121</v>
      </c>
      <c r="H148">
        <v>119.57899999999999</v>
      </c>
      <c r="I148" t="s">
        <v>217</v>
      </c>
    </row>
    <row r="149" spans="1:9" x14ac:dyDescent="0.3">
      <c r="A149" t="s">
        <v>473</v>
      </c>
      <c r="B149" t="s">
        <v>140</v>
      </c>
      <c r="C149">
        <v>3882.9974009344301</v>
      </c>
      <c r="D149">
        <v>2.5753300781487798E-4</v>
      </c>
      <c r="E149">
        <v>2.8000000000000001E-2</v>
      </c>
      <c r="F149" t="s">
        <v>218</v>
      </c>
      <c r="G149" t="s">
        <v>121</v>
      </c>
      <c r="H149">
        <v>35.350999999999999</v>
      </c>
      <c r="I149" t="s">
        <v>219</v>
      </c>
    </row>
    <row r="150" spans="1:9" x14ac:dyDescent="0.3">
      <c r="A150" t="s">
        <v>86</v>
      </c>
      <c r="B150" t="s">
        <v>87</v>
      </c>
      <c r="C150">
        <v>4.6214571691450397</v>
      </c>
      <c r="D150">
        <v>0.216381968586976</v>
      </c>
      <c r="E150">
        <v>8.0000000000000002E-3</v>
      </c>
      <c r="F150" t="s">
        <v>220</v>
      </c>
      <c r="G150" t="s">
        <v>121</v>
      </c>
      <c r="H150">
        <v>120.863</v>
      </c>
      <c r="I150" t="s">
        <v>221</v>
      </c>
    </row>
    <row r="151" spans="1:9" x14ac:dyDescent="0.3">
      <c r="A151" t="s">
        <v>474</v>
      </c>
      <c r="B151" t="s">
        <v>475</v>
      </c>
      <c r="C151">
        <v>109.735699414065</v>
      </c>
      <c r="D151">
        <v>9.1128047238911904E-3</v>
      </c>
      <c r="E151">
        <v>1E-3</v>
      </c>
      <c r="F151" t="s">
        <v>191</v>
      </c>
      <c r="G151" t="s">
        <v>121</v>
      </c>
      <c r="H151">
        <v>901.01099999999997</v>
      </c>
      <c r="I151" t="s">
        <v>178</v>
      </c>
    </row>
    <row r="152" spans="1:9" x14ac:dyDescent="0.3">
      <c r="A152" t="s">
        <v>476</v>
      </c>
      <c r="B152" t="s">
        <v>477</v>
      </c>
      <c r="C152">
        <v>3.7931806770854002</v>
      </c>
      <c r="D152">
        <v>0.26363099602425899</v>
      </c>
      <c r="E152">
        <v>0.43099999999999999</v>
      </c>
      <c r="F152" t="s">
        <v>222</v>
      </c>
      <c r="G152" t="s">
        <v>121</v>
      </c>
      <c r="H152">
        <v>2.3180000000000001</v>
      </c>
      <c r="I152" t="s">
        <v>223</v>
      </c>
    </row>
    <row r="153" spans="1:9" x14ac:dyDescent="0.3">
      <c r="A153" t="s">
        <v>478</v>
      </c>
      <c r="B153" t="s">
        <v>479</v>
      </c>
      <c r="C153">
        <v>2.6449324127569001</v>
      </c>
      <c r="D153">
        <v>0.37808149470166003</v>
      </c>
      <c r="E153">
        <v>0.16500000000000001</v>
      </c>
      <c r="F153" t="s">
        <v>224</v>
      </c>
      <c r="G153" t="s">
        <v>121</v>
      </c>
      <c r="H153">
        <v>6.0590000000000002</v>
      </c>
      <c r="I153" t="s">
        <v>225</v>
      </c>
    </row>
    <row r="154" spans="1:9" x14ac:dyDescent="0.3">
      <c r="A154" t="s">
        <v>14</v>
      </c>
      <c r="B154" t="s">
        <v>480</v>
      </c>
      <c r="C154">
        <v>609.06449201758005</v>
      </c>
      <c r="D154">
        <v>1.64186225450019E-3</v>
      </c>
      <c r="E154">
        <v>0.53900000000000003</v>
      </c>
      <c r="F154" t="s">
        <v>226</v>
      </c>
      <c r="G154" t="s">
        <v>121</v>
      </c>
      <c r="H154">
        <v>1.855</v>
      </c>
      <c r="I154" t="s">
        <v>227</v>
      </c>
    </row>
    <row r="155" spans="1:9" x14ac:dyDescent="0.3">
      <c r="A155" t="s">
        <v>481</v>
      </c>
      <c r="B155" t="s">
        <v>482</v>
      </c>
      <c r="C155">
        <v>2.2419124270241002</v>
      </c>
      <c r="D155">
        <v>0.446047752778369</v>
      </c>
      <c r="E155">
        <v>6.8000000000000005E-2</v>
      </c>
      <c r="F155" t="s">
        <v>228</v>
      </c>
      <c r="G155" t="s">
        <v>121</v>
      </c>
      <c r="H155">
        <v>14.632</v>
      </c>
      <c r="I155" t="s">
        <v>229</v>
      </c>
    </row>
    <row r="156" spans="1:9" x14ac:dyDescent="0.3">
      <c r="A156" t="s">
        <v>112</v>
      </c>
      <c r="B156" t="s">
        <v>483</v>
      </c>
      <c r="C156">
        <v>3628902.17072814</v>
      </c>
      <c r="D156" s="4">
        <v>2.75565433553517E-7</v>
      </c>
      <c r="E156">
        <v>2.1000000000000001E-2</v>
      </c>
      <c r="F156" t="s">
        <v>230</v>
      </c>
      <c r="G156" t="s">
        <v>121</v>
      </c>
      <c r="H156">
        <v>46.929000000000002</v>
      </c>
      <c r="I156" t="s">
        <v>231</v>
      </c>
    </row>
    <row r="157" spans="1:9" x14ac:dyDescent="0.3">
      <c r="A157" t="s">
        <v>484</v>
      </c>
      <c r="B157" t="s">
        <v>483</v>
      </c>
      <c r="C157">
        <v>36.2890217072814</v>
      </c>
      <c r="D157">
        <v>2.7556543355351699E-2</v>
      </c>
      <c r="E157">
        <v>1.2999999999999999E-2</v>
      </c>
      <c r="F157" t="s">
        <v>232</v>
      </c>
      <c r="G157" t="s">
        <v>121</v>
      </c>
      <c r="H157">
        <v>79.683999999999997</v>
      </c>
      <c r="I157" t="s">
        <v>233</v>
      </c>
    </row>
    <row r="158" spans="1:9" x14ac:dyDescent="0.3">
      <c r="A158" t="s">
        <v>485</v>
      </c>
      <c r="B158" t="s">
        <v>486</v>
      </c>
      <c r="C158">
        <v>3.2701536649543801</v>
      </c>
      <c r="D158">
        <v>0.30579602748238099</v>
      </c>
      <c r="E158">
        <v>5.0000000000000001E-3</v>
      </c>
      <c r="F158" t="s">
        <v>234</v>
      </c>
      <c r="G158" t="s">
        <v>121</v>
      </c>
      <c r="H158">
        <v>208.24299999999999</v>
      </c>
      <c r="I158" t="s">
        <v>235</v>
      </c>
    </row>
    <row r="159" spans="1:9" x14ac:dyDescent="0.3">
      <c r="A159" t="s">
        <v>487</v>
      </c>
      <c r="B159" t="s">
        <v>488</v>
      </c>
      <c r="C159">
        <v>12491.2349550127</v>
      </c>
      <c r="D159">
        <v>8.0056135650438806E-5</v>
      </c>
      <c r="E159">
        <v>6.0000000000000001E-3</v>
      </c>
      <c r="F159" t="s">
        <v>236</v>
      </c>
      <c r="G159" t="s">
        <v>121</v>
      </c>
      <c r="H159">
        <v>181.02099999999999</v>
      </c>
      <c r="I159" t="s">
        <v>237</v>
      </c>
    </row>
    <row r="160" spans="1:9" x14ac:dyDescent="0.3">
      <c r="A160" t="s">
        <v>489</v>
      </c>
      <c r="B160" t="s">
        <v>122</v>
      </c>
      <c r="C160">
        <v>1.8160132530375299</v>
      </c>
      <c r="D160">
        <v>0.550656774297962</v>
      </c>
      <c r="E160">
        <v>0.111</v>
      </c>
      <c r="F160" t="s">
        <v>238</v>
      </c>
      <c r="G160" t="s">
        <v>121</v>
      </c>
      <c r="H160">
        <v>9.0449999999999999</v>
      </c>
      <c r="I160" t="s">
        <v>239</v>
      </c>
    </row>
    <row r="161" spans="1:9" x14ac:dyDescent="0.3">
      <c r="A161" t="s">
        <v>490</v>
      </c>
      <c r="B161" t="s">
        <v>134</v>
      </c>
      <c r="C161">
        <v>134.517908339922</v>
      </c>
      <c r="D161">
        <v>7.4339544254065299E-3</v>
      </c>
      <c r="E161">
        <v>1.2E-2</v>
      </c>
      <c r="F161" t="s">
        <v>240</v>
      </c>
      <c r="G161" t="s">
        <v>121</v>
      </c>
      <c r="H161">
        <v>80.328999999999994</v>
      </c>
      <c r="I161" t="s">
        <v>241</v>
      </c>
    </row>
    <row r="162" spans="1:9" x14ac:dyDescent="0.3">
      <c r="A162" t="s">
        <v>491</v>
      </c>
      <c r="B162" t="s">
        <v>492</v>
      </c>
      <c r="C162">
        <v>42070.908972545702</v>
      </c>
      <c r="D162">
        <v>2.37693937312495E-5</v>
      </c>
      <c r="E162">
        <v>1E-3</v>
      </c>
      <c r="F162" t="s">
        <v>203</v>
      </c>
      <c r="G162" t="s">
        <v>121</v>
      </c>
      <c r="H162">
        <v>949.01199999999994</v>
      </c>
      <c r="I162" t="s">
        <v>242</v>
      </c>
    </row>
    <row r="163" spans="1:9" x14ac:dyDescent="0.3">
      <c r="A163" t="s">
        <v>493</v>
      </c>
      <c r="B163" t="s">
        <v>129</v>
      </c>
      <c r="C163">
        <v>58.607125977602102</v>
      </c>
      <c r="D163">
        <v>1.7062771520005401E-2</v>
      </c>
      <c r="E163">
        <v>3.6999999999999998E-2</v>
      </c>
      <c r="F163" t="s">
        <v>205</v>
      </c>
      <c r="G163" t="s">
        <v>121</v>
      </c>
      <c r="H163">
        <v>27.108000000000001</v>
      </c>
      <c r="I163" t="s">
        <v>243</v>
      </c>
    </row>
    <row r="164" spans="1:9" x14ac:dyDescent="0.3">
      <c r="A164" t="s">
        <v>38</v>
      </c>
      <c r="B164" t="s">
        <v>39</v>
      </c>
      <c r="C164">
        <v>138.07560505126901</v>
      </c>
      <c r="D164">
        <v>7.2424089659334397E-3</v>
      </c>
      <c r="E164">
        <v>4.5999999999999999E-2</v>
      </c>
      <c r="F164" t="s">
        <v>244</v>
      </c>
      <c r="G164" t="s">
        <v>121</v>
      </c>
      <c r="H164">
        <v>21.850999999999999</v>
      </c>
      <c r="I164" t="s">
        <v>245</v>
      </c>
    </row>
    <row r="165" spans="1:9" x14ac:dyDescent="0.3">
      <c r="A165" t="s">
        <v>494</v>
      </c>
      <c r="B165" t="s">
        <v>495</v>
      </c>
      <c r="C165">
        <v>514.47352708789401</v>
      </c>
      <c r="D165">
        <v>1.94373460897076E-3</v>
      </c>
      <c r="F165" t="s">
        <v>419</v>
      </c>
    </row>
    <row r="166" spans="1:9" x14ac:dyDescent="0.3">
      <c r="A166" t="s">
        <v>496</v>
      </c>
      <c r="B166" t="s">
        <v>497</v>
      </c>
      <c r="C166">
        <v>4.3547220965975901E-2</v>
      </c>
      <c r="D166">
        <v>22.963577877479501</v>
      </c>
      <c r="E166" t="s">
        <v>210</v>
      </c>
      <c r="F166" t="s">
        <v>118</v>
      </c>
      <c r="G166" t="s">
        <v>119</v>
      </c>
      <c r="H166" t="s">
        <v>211</v>
      </c>
      <c r="I166" t="s">
        <v>118</v>
      </c>
    </row>
    <row r="167" spans="1:9" x14ac:dyDescent="0.3">
      <c r="A167" t="s">
        <v>498</v>
      </c>
      <c r="B167" t="s">
        <v>499</v>
      </c>
      <c r="C167">
        <v>13001.782846420399</v>
      </c>
      <c r="D167">
        <v>7.69125289825396E-5</v>
      </c>
      <c r="E167">
        <v>2E-3</v>
      </c>
      <c r="F167" t="s">
        <v>246</v>
      </c>
      <c r="G167" t="s">
        <v>121</v>
      </c>
      <c r="H167">
        <v>464.863</v>
      </c>
      <c r="I167" t="s">
        <v>247</v>
      </c>
    </row>
    <row r="168" spans="1:9" x14ac:dyDescent="0.3">
      <c r="A168" t="s">
        <v>46</v>
      </c>
      <c r="B168" t="s">
        <v>47</v>
      </c>
      <c r="C168">
        <v>156.565072215687</v>
      </c>
      <c r="D168">
        <v>6.3871206128425497E-3</v>
      </c>
      <c r="E168">
        <v>1E-3</v>
      </c>
      <c r="F168" t="s">
        <v>248</v>
      </c>
      <c r="G168" t="s">
        <v>121</v>
      </c>
      <c r="H168">
        <v>836.75400000000002</v>
      </c>
      <c r="I168" t="s">
        <v>249</v>
      </c>
    </row>
    <row r="169" spans="1:9" x14ac:dyDescent="0.3">
      <c r="A169" t="s">
        <v>500</v>
      </c>
      <c r="B169" t="s">
        <v>501</v>
      </c>
      <c r="C169">
        <v>4.8440343602615901</v>
      </c>
      <c r="D169">
        <v>0.206439493535301</v>
      </c>
      <c r="E169">
        <v>2E-3</v>
      </c>
      <c r="F169" t="s">
        <v>250</v>
      </c>
      <c r="G169" t="s">
        <v>121</v>
      </c>
      <c r="H169">
        <v>418.37700000000001</v>
      </c>
      <c r="I169" t="s">
        <v>251</v>
      </c>
    </row>
    <row r="170" spans="1:9" x14ac:dyDescent="0.3">
      <c r="A170" t="s">
        <v>502</v>
      </c>
      <c r="B170" t="s">
        <v>503</v>
      </c>
      <c r="C170">
        <v>12.4863246415586</v>
      </c>
      <c r="D170">
        <v>8.0087618150793904E-2</v>
      </c>
      <c r="E170">
        <v>2E-3</v>
      </c>
      <c r="F170" t="s">
        <v>252</v>
      </c>
      <c r="G170" t="s">
        <v>121</v>
      </c>
      <c r="H170">
        <v>415.19900000000001</v>
      </c>
      <c r="I170" t="s">
        <v>253</v>
      </c>
    </row>
    <row r="171" spans="1:9" x14ac:dyDescent="0.3">
      <c r="A171" t="s">
        <v>504</v>
      </c>
      <c r="B171" t="s">
        <v>505</v>
      </c>
      <c r="C171">
        <v>45.595692318745201</v>
      </c>
      <c r="D171">
        <v>2.1931896395153101E-2</v>
      </c>
      <c r="E171">
        <v>1E-3</v>
      </c>
      <c r="F171" t="s">
        <v>254</v>
      </c>
      <c r="G171" t="s">
        <v>121</v>
      </c>
      <c r="H171">
        <v>836.75400000000002</v>
      </c>
      <c r="I171" t="s">
        <v>255</v>
      </c>
    </row>
    <row r="172" spans="1:9" x14ac:dyDescent="0.3">
      <c r="A172" t="s">
        <v>506</v>
      </c>
      <c r="B172" t="s">
        <v>507</v>
      </c>
      <c r="C172">
        <v>834.55533105485301</v>
      </c>
      <c r="D172">
        <v>1.1982428998878101E-3</v>
      </c>
      <c r="E172">
        <v>8.0000000000000002E-3</v>
      </c>
      <c r="F172" t="s">
        <v>256</v>
      </c>
      <c r="G172" t="s">
        <v>121</v>
      </c>
      <c r="H172">
        <v>121.114</v>
      </c>
      <c r="I172" t="s">
        <v>257</v>
      </c>
    </row>
    <row r="173" spans="1:9" x14ac:dyDescent="0.3">
      <c r="A173" t="s">
        <v>508</v>
      </c>
      <c r="B173" t="s">
        <v>509</v>
      </c>
      <c r="C173">
        <v>39.1176516828532</v>
      </c>
      <c r="D173">
        <v>2.55639067525706E-2</v>
      </c>
      <c r="E173">
        <v>6.0000000000000001E-3</v>
      </c>
      <c r="F173" t="s">
        <v>258</v>
      </c>
      <c r="G173" t="s">
        <v>121</v>
      </c>
      <c r="H173">
        <v>168.66300000000001</v>
      </c>
      <c r="I173" t="s">
        <v>259</v>
      </c>
    </row>
    <row r="174" spans="1:9" x14ac:dyDescent="0.3">
      <c r="A174" t="s">
        <v>510</v>
      </c>
      <c r="B174" t="s">
        <v>511</v>
      </c>
      <c r="C174">
        <v>73.7521412206668</v>
      </c>
      <c r="D174">
        <v>1.3558928370743699E-2</v>
      </c>
      <c r="E174">
        <v>2E-3</v>
      </c>
      <c r="F174" t="s">
        <v>187</v>
      </c>
      <c r="G174" t="s">
        <v>121</v>
      </c>
      <c r="H174">
        <v>620.07000000000005</v>
      </c>
      <c r="I174" t="s">
        <v>260</v>
      </c>
    </row>
    <row r="175" spans="1:9" x14ac:dyDescent="0.3">
      <c r="A175" t="s">
        <v>56</v>
      </c>
      <c r="B175" t="s">
        <v>57</v>
      </c>
      <c r="C175">
        <v>14975.3206262454</v>
      </c>
      <c r="D175">
        <v>6.6776533535276396E-5</v>
      </c>
      <c r="E175">
        <v>1E-3</v>
      </c>
      <c r="F175" t="s">
        <v>261</v>
      </c>
      <c r="G175" t="s">
        <v>121</v>
      </c>
      <c r="H175">
        <v>1004.272</v>
      </c>
      <c r="I175" t="s">
        <v>262</v>
      </c>
    </row>
    <row r="176" spans="1:9" x14ac:dyDescent="0.3">
      <c r="A176" t="s">
        <v>512</v>
      </c>
      <c r="B176" t="s">
        <v>513</v>
      </c>
      <c r="C176">
        <v>110.801053987998</v>
      </c>
      <c r="D176">
        <v>9.0251849058070703E-3</v>
      </c>
      <c r="E176">
        <v>1.153</v>
      </c>
      <c r="F176" t="s">
        <v>263</v>
      </c>
      <c r="G176" t="s">
        <v>121</v>
      </c>
      <c r="H176">
        <v>0.86699999999999999</v>
      </c>
      <c r="I176" t="s">
        <v>264</v>
      </c>
    </row>
    <row r="177" spans="1:9" x14ac:dyDescent="0.3">
      <c r="A177" t="s">
        <v>514</v>
      </c>
      <c r="B177" t="s">
        <v>515</v>
      </c>
      <c r="C177">
        <v>6.7825933898400201</v>
      </c>
      <c r="D177">
        <v>0.14743623014434901</v>
      </c>
      <c r="E177">
        <v>4.6749999999999998</v>
      </c>
      <c r="F177" t="s">
        <v>265</v>
      </c>
      <c r="G177" t="s">
        <v>121</v>
      </c>
      <c r="H177">
        <v>0.214</v>
      </c>
      <c r="I177" t="s">
        <v>266</v>
      </c>
    </row>
    <row r="178" spans="1:9" x14ac:dyDescent="0.3">
      <c r="A178" t="s">
        <v>516</v>
      </c>
      <c r="B178" t="s">
        <v>138</v>
      </c>
      <c r="C178">
        <v>2581.9257985975</v>
      </c>
      <c r="D178">
        <v>3.8730779968316499E-4</v>
      </c>
      <c r="E178">
        <v>0.61399999999999999</v>
      </c>
      <c r="F178" t="s">
        <v>267</v>
      </c>
      <c r="G178" t="s">
        <v>121</v>
      </c>
      <c r="H178">
        <v>1.627</v>
      </c>
      <c r="I178" t="s">
        <v>268</v>
      </c>
    </row>
    <row r="179" spans="1:9" x14ac:dyDescent="0.3">
      <c r="A179" t="s">
        <v>517</v>
      </c>
      <c r="B179" t="s">
        <v>120</v>
      </c>
      <c r="C179">
        <v>96.340989896693898</v>
      </c>
      <c r="D179">
        <v>1.0379797852111501E-2</v>
      </c>
      <c r="E179">
        <v>7.0000000000000007E-2</v>
      </c>
      <c r="F179" t="s">
        <v>269</v>
      </c>
      <c r="G179" t="s">
        <v>121</v>
      </c>
      <c r="H179">
        <v>14.276</v>
      </c>
      <c r="I179" t="s">
        <v>270</v>
      </c>
    </row>
    <row r="180" spans="1:9" x14ac:dyDescent="0.3">
      <c r="A180" t="s">
        <v>26</v>
      </c>
      <c r="B180" t="s">
        <v>27</v>
      </c>
      <c r="C180">
        <v>2.7054988866287801</v>
      </c>
      <c r="D180">
        <v>0.36961759804900901</v>
      </c>
      <c r="E180">
        <v>3.0000000000000001E-3</v>
      </c>
      <c r="F180" t="s">
        <v>271</v>
      </c>
      <c r="G180" t="s">
        <v>121</v>
      </c>
      <c r="H180">
        <v>309.61599999999999</v>
      </c>
      <c r="I180" t="s">
        <v>272</v>
      </c>
    </row>
    <row r="181" spans="1:9" x14ac:dyDescent="0.3">
      <c r="A181" t="s">
        <v>518</v>
      </c>
      <c r="B181" t="s">
        <v>519</v>
      </c>
      <c r="C181">
        <v>7.8016248772528503</v>
      </c>
      <c r="D181">
        <v>0.128178426383418</v>
      </c>
      <c r="E181">
        <v>0.01</v>
      </c>
      <c r="F181" t="s">
        <v>273</v>
      </c>
      <c r="G181" t="s">
        <v>121</v>
      </c>
      <c r="H181">
        <v>95.644999999999996</v>
      </c>
      <c r="I181" t="s">
        <v>274</v>
      </c>
    </row>
    <row r="182" spans="1:9" x14ac:dyDescent="0.3">
      <c r="A182" t="s">
        <v>68</v>
      </c>
      <c r="B182" t="s">
        <v>69</v>
      </c>
      <c r="C182">
        <v>132.94449380117899</v>
      </c>
      <c r="D182">
        <v>7.5219361961354498E-3</v>
      </c>
      <c r="E182">
        <v>3.0000000000000001E-3</v>
      </c>
      <c r="F182" t="s">
        <v>275</v>
      </c>
      <c r="G182" t="s">
        <v>121</v>
      </c>
      <c r="H182">
        <v>373.17599999999999</v>
      </c>
      <c r="I182" t="s">
        <v>276</v>
      </c>
    </row>
    <row r="183" spans="1:9" x14ac:dyDescent="0.3">
      <c r="A183" t="s">
        <v>520</v>
      </c>
      <c r="B183" t="s">
        <v>521</v>
      </c>
      <c r="C183">
        <v>6.9068091504850901</v>
      </c>
      <c r="D183">
        <v>0.144784657895138</v>
      </c>
      <c r="E183">
        <v>8.9999999999999993E-3</v>
      </c>
      <c r="F183" t="s">
        <v>277</v>
      </c>
      <c r="G183" t="s">
        <v>121</v>
      </c>
      <c r="H183">
        <v>107.184</v>
      </c>
      <c r="I183" t="s">
        <v>278</v>
      </c>
    </row>
    <row r="184" spans="1:9" x14ac:dyDescent="0.3">
      <c r="A184" t="s">
        <v>522</v>
      </c>
      <c r="B184" t="s">
        <v>523</v>
      </c>
      <c r="C184">
        <v>361.9</v>
      </c>
      <c r="D184">
        <v>2.7631942525559502E-3</v>
      </c>
      <c r="E184">
        <v>0.158</v>
      </c>
      <c r="F184" t="s">
        <v>279</v>
      </c>
      <c r="G184" t="s">
        <v>121</v>
      </c>
      <c r="H184">
        <v>6.3289999999999997</v>
      </c>
      <c r="I184" t="s">
        <v>280</v>
      </c>
    </row>
    <row r="185" spans="1:9" x14ac:dyDescent="0.3">
      <c r="A185" t="s">
        <v>6</v>
      </c>
      <c r="B185" t="s">
        <v>524</v>
      </c>
      <c r="C185">
        <v>2</v>
      </c>
      <c r="D185">
        <v>0.5</v>
      </c>
      <c r="E185">
        <v>2.9000000000000001E-2</v>
      </c>
      <c r="F185" t="s">
        <v>281</v>
      </c>
      <c r="G185" t="s">
        <v>121</v>
      </c>
      <c r="H185">
        <v>33.908000000000001</v>
      </c>
      <c r="I185" t="s">
        <v>282</v>
      </c>
    </row>
    <row r="186" spans="1:9" x14ac:dyDescent="0.3">
      <c r="A186" t="s">
        <v>525</v>
      </c>
      <c r="B186" t="s">
        <v>526</v>
      </c>
      <c r="C186">
        <v>1</v>
      </c>
      <c r="D186">
        <v>1</v>
      </c>
      <c r="E186">
        <v>0.187</v>
      </c>
      <c r="F186" t="s">
        <v>283</v>
      </c>
      <c r="G186" t="s">
        <v>121</v>
      </c>
      <c r="H186">
        <v>5.3410000000000002</v>
      </c>
      <c r="I186" t="s">
        <v>284</v>
      </c>
    </row>
    <row r="187" spans="1:9" x14ac:dyDescent="0.3">
      <c r="A187" t="s">
        <v>527</v>
      </c>
      <c r="B187" t="s">
        <v>528</v>
      </c>
      <c r="C187">
        <v>20785.144039556701</v>
      </c>
      <c r="D187">
        <v>4.81112855459106E-5</v>
      </c>
      <c r="E187">
        <v>0.02</v>
      </c>
      <c r="F187" t="s">
        <v>285</v>
      </c>
      <c r="G187" t="s">
        <v>121</v>
      </c>
      <c r="H187">
        <v>49.054000000000002</v>
      </c>
      <c r="I187" t="s">
        <v>286</v>
      </c>
    </row>
    <row r="188" spans="1:9" x14ac:dyDescent="0.3">
      <c r="A188" t="s">
        <v>529</v>
      </c>
      <c r="B188" t="s">
        <v>530</v>
      </c>
      <c r="C188">
        <v>1.34641346675284</v>
      </c>
      <c r="D188">
        <v>0.74271390229905299</v>
      </c>
      <c r="E188">
        <v>2E-3</v>
      </c>
      <c r="F188" t="s">
        <v>287</v>
      </c>
      <c r="G188" t="s">
        <v>121</v>
      </c>
      <c r="H188">
        <v>464.36799999999999</v>
      </c>
      <c r="I188" t="s">
        <v>288</v>
      </c>
    </row>
    <row r="189" spans="1:9" x14ac:dyDescent="0.3">
      <c r="A189" t="s">
        <v>531</v>
      </c>
      <c r="B189" t="s">
        <v>532</v>
      </c>
      <c r="C189">
        <v>13.685008045711299</v>
      </c>
      <c r="D189">
        <v>7.3072664382786603E-2</v>
      </c>
      <c r="E189">
        <v>1E-3</v>
      </c>
      <c r="F189" t="s">
        <v>289</v>
      </c>
      <c r="G189" t="s">
        <v>121</v>
      </c>
      <c r="H189">
        <v>836.75400000000002</v>
      </c>
      <c r="I189" t="s">
        <v>290</v>
      </c>
    </row>
    <row r="190" spans="1:9" x14ac:dyDescent="0.3">
      <c r="A190" t="s">
        <v>533</v>
      </c>
      <c r="B190" t="s">
        <v>534</v>
      </c>
      <c r="C190">
        <v>24.671304748498301</v>
      </c>
      <c r="D190">
        <v>4.0532919121793298E-2</v>
      </c>
      <c r="E190">
        <v>8.7170000000000005</v>
      </c>
      <c r="F190" t="s">
        <v>291</v>
      </c>
      <c r="G190" t="s">
        <v>121</v>
      </c>
      <c r="H190">
        <v>0.115</v>
      </c>
      <c r="I190" t="s">
        <v>292</v>
      </c>
    </row>
    <row r="191" spans="1:9" x14ac:dyDescent="0.3">
      <c r="A191" t="s">
        <v>535</v>
      </c>
      <c r="B191" t="s">
        <v>130</v>
      </c>
      <c r="C191">
        <v>7300.8533950486599</v>
      </c>
      <c r="D191">
        <v>1.36970289073081E-4</v>
      </c>
      <c r="E191">
        <v>5.0000000000000001E-3</v>
      </c>
      <c r="F191" t="s">
        <v>293</v>
      </c>
      <c r="G191" t="s">
        <v>121</v>
      </c>
      <c r="H191">
        <v>219.12700000000001</v>
      </c>
      <c r="I191" t="s">
        <v>294</v>
      </c>
    </row>
    <row r="192" spans="1:9" x14ac:dyDescent="0.3">
      <c r="A192" t="s">
        <v>536</v>
      </c>
      <c r="B192" t="s">
        <v>135</v>
      </c>
      <c r="C192">
        <v>56.508247932468798</v>
      </c>
      <c r="D192">
        <v>1.7696531684986298E-2</v>
      </c>
      <c r="E192">
        <v>2.3E-2</v>
      </c>
      <c r="F192" t="s">
        <v>295</v>
      </c>
      <c r="G192" t="s">
        <v>121</v>
      </c>
      <c r="H192">
        <v>44.093000000000004</v>
      </c>
      <c r="I192" t="s">
        <v>296</v>
      </c>
    </row>
    <row r="193" spans="1:9" x14ac:dyDescent="0.3">
      <c r="A193" t="s">
        <v>66</v>
      </c>
      <c r="B193" t="s">
        <v>67</v>
      </c>
      <c r="C193">
        <v>18.958788344509799</v>
      </c>
      <c r="D193">
        <v>5.2745986812473798E-2</v>
      </c>
      <c r="E193">
        <v>8.0000000000000002E-3</v>
      </c>
      <c r="F193" t="s">
        <v>297</v>
      </c>
      <c r="G193" t="s">
        <v>121</v>
      </c>
      <c r="H193">
        <v>123.351</v>
      </c>
      <c r="I193" t="s">
        <v>298</v>
      </c>
    </row>
    <row r="194" spans="1:9" x14ac:dyDescent="0.3">
      <c r="A194" t="s">
        <v>537</v>
      </c>
      <c r="B194" t="s">
        <v>538</v>
      </c>
      <c r="C194">
        <v>3.7686285399839501</v>
      </c>
      <c r="D194">
        <v>0.26534851853673402</v>
      </c>
      <c r="E194">
        <v>1E-3</v>
      </c>
      <c r="F194" t="s">
        <v>126</v>
      </c>
      <c r="G194" t="s">
        <v>121</v>
      </c>
      <c r="H194">
        <v>836.75400000000002</v>
      </c>
      <c r="I194" t="s">
        <v>125</v>
      </c>
    </row>
    <row r="195" spans="1:9" x14ac:dyDescent="0.3">
      <c r="A195" t="s">
        <v>539</v>
      </c>
      <c r="B195" t="s">
        <v>540</v>
      </c>
      <c r="C195">
        <v>600.84102125150105</v>
      </c>
      <c r="D195">
        <v>1.6643337665545601E-3</v>
      </c>
      <c r="E195">
        <v>4.7E-2</v>
      </c>
      <c r="F195" t="s">
        <v>299</v>
      </c>
      <c r="G195" t="s">
        <v>121</v>
      </c>
      <c r="H195">
        <v>21.393000000000001</v>
      </c>
      <c r="I195" t="s">
        <v>300</v>
      </c>
    </row>
    <row r="196" spans="1:9" x14ac:dyDescent="0.3">
      <c r="A196" t="s">
        <v>541</v>
      </c>
      <c r="B196" t="s">
        <v>131</v>
      </c>
      <c r="C196">
        <v>8.0557967515709201</v>
      </c>
      <c r="D196">
        <v>0.12413421426068</v>
      </c>
      <c r="F196" t="s">
        <v>419</v>
      </c>
    </row>
    <row r="197" spans="1:9" x14ac:dyDescent="0.3">
      <c r="A197" t="s">
        <v>542</v>
      </c>
      <c r="B197" t="s">
        <v>543</v>
      </c>
      <c r="C197">
        <v>1</v>
      </c>
      <c r="D197">
        <v>1</v>
      </c>
      <c r="E197" t="s">
        <v>210</v>
      </c>
      <c r="F197" t="s">
        <v>118</v>
      </c>
      <c r="G197" t="s">
        <v>119</v>
      </c>
      <c r="H197" t="s">
        <v>211</v>
      </c>
      <c r="I197" t="s">
        <v>118</v>
      </c>
    </row>
    <row r="198" spans="1:9" x14ac:dyDescent="0.3">
      <c r="A198" t="s">
        <v>544</v>
      </c>
      <c r="B198" t="s">
        <v>545</v>
      </c>
      <c r="C198">
        <v>36.7971632873235</v>
      </c>
      <c r="D198">
        <v>2.7176007894730701E-2</v>
      </c>
      <c r="E198">
        <v>2E-3</v>
      </c>
      <c r="F198" t="s">
        <v>183</v>
      </c>
      <c r="G198" t="s">
        <v>121</v>
      </c>
      <c r="H198">
        <v>546.89800000000002</v>
      </c>
      <c r="I198" t="s">
        <v>174</v>
      </c>
    </row>
    <row r="199" spans="1:9" x14ac:dyDescent="0.3">
      <c r="A199" t="s">
        <v>546</v>
      </c>
      <c r="B199" t="s">
        <v>547</v>
      </c>
      <c r="C199">
        <v>1.8160132530375299</v>
      </c>
      <c r="D199">
        <v>0.550656774297962</v>
      </c>
      <c r="E199">
        <v>0.13100000000000001</v>
      </c>
      <c r="F199" t="s">
        <v>301</v>
      </c>
      <c r="G199" t="s">
        <v>121</v>
      </c>
      <c r="H199">
        <v>7.625</v>
      </c>
      <c r="I199" t="s">
        <v>302</v>
      </c>
    </row>
    <row r="200" spans="1:9" x14ac:dyDescent="0.3">
      <c r="A200" t="s">
        <v>548</v>
      </c>
      <c r="B200" t="s">
        <v>549</v>
      </c>
      <c r="C200">
        <v>449.82874144386</v>
      </c>
      <c r="D200">
        <v>2.2230682654696501E-3</v>
      </c>
      <c r="E200">
        <v>9.9000000000000005E-2</v>
      </c>
      <c r="F200" t="s">
        <v>303</v>
      </c>
      <c r="G200" t="s">
        <v>121</v>
      </c>
      <c r="H200">
        <v>10.08</v>
      </c>
      <c r="I200" t="s">
        <v>304</v>
      </c>
    </row>
    <row r="201" spans="1:9" x14ac:dyDescent="0.3">
      <c r="A201" t="s">
        <v>78</v>
      </c>
      <c r="B201" t="s">
        <v>79</v>
      </c>
      <c r="C201">
        <v>1</v>
      </c>
      <c r="D201">
        <v>1</v>
      </c>
      <c r="E201">
        <v>2E-3</v>
      </c>
      <c r="F201" t="s">
        <v>305</v>
      </c>
      <c r="G201" t="s">
        <v>121</v>
      </c>
      <c r="H201">
        <v>621.92600000000004</v>
      </c>
      <c r="I201" t="s">
        <v>306</v>
      </c>
    </row>
    <row r="202" spans="1:9" x14ac:dyDescent="0.3">
      <c r="A202" t="s">
        <v>550</v>
      </c>
      <c r="B202" t="s">
        <v>551</v>
      </c>
      <c r="C202">
        <v>208.89261271877001</v>
      </c>
      <c r="D202">
        <v>4.7871487027944196E-3</v>
      </c>
      <c r="E202">
        <v>8.9999999999999993E-3</v>
      </c>
      <c r="F202" t="s">
        <v>189</v>
      </c>
      <c r="G202" t="s">
        <v>121</v>
      </c>
      <c r="H202">
        <v>116.245</v>
      </c>
      <c r="I202" t="s">
        <v>307</v>
      </c>
    </row>
    <row r="203" spans="1:9" x14ac:dyDescent="0.3">
      <c r="A203" t="s">
        <v>552</v>
      </c>
      <c r="B203" t="s">
        <v>553</v>
      </c>
      <c r="C203">
        <v>250.22355235829201</v>
      </c>
      <c r="D203">
        <v>3.9964263578518401E-3</v>
      </c>
      <c r="E203">
        <v>9.9000000000000005E-2</v>
      </c>
      <c r="F203" t="s">
        <v>195</v>
      </c>
      <c r="G203" t="s">
        <v>121</v>
      </c>
      <c r="H203">
        <v>10.074999999999999</v>
      </c>
      <c r="I203" t="s">
        <v>308</v>
      </c>
    </row>
    <row r="204" spans="1:9" x14ac:dyDescent="0.3">
      <c r="A204" t="s">
        <v>554</v>
      </c>
      <c r="B204" t="s">
        <v>555</v>
      </c>
      <c r="C204">
        <v>4541.3771405137204</v>
      </c>
      <c r="D204">
        <v>2.20197523583535E-4</v>
      </c>
      <c r="E204">
        <v>18.687000000000001</v>
      </c>
      <c r="F204" t="s">
        <v>309</v>
      </c>
      <c r="G204" t="s">
        <v>121</v>
      </c>
      <c r="H204">
        <v>5.3999999999999999E-2</v>
      </c>
      <c r="I204" t="s">
        <v>310</v>
      </c>
    </row>
    <row r="205" spans="1:9" x14ac:dyDescent="0.3">
      <c r="A205" t="s">
        <v>556</v>
      </c>
      <c r="B205" t="s">
        <v>557</v>
      </c>
      <c r="C205">
        <v>0.82420687178779195</v>
      </c>
      <c r="D205">
        <v>1.21328762745073</v>
      </c>
      <c r="E205">
        <v>0.17899999999999999</v>
      </c>
      <c r="F205" t="s">
        <v>197</v>
      </c>
      <c r="G205" t="s">
        <v>121</v>
      </c>
      <c r="H205">
        <v>5.5720000000000001</v>
      </c>
      <c r="I205" t="s">
        <v>311</v>
      </c>
    </row>
    <row r="206" spans="1:9" x14ac:dyDescent="0.3">
      <c r="A206" t="s">
        <v>558</v>
      </c>
      <c r="B206" t="s">
        <v>559</v>
      </c>
      <c r="C206">
        <v>64.240351098272598</v>
      </c>
      <c r="D206">
        <v>1.55665400780614E-2</v>
      </c>
      <c r="E206">
        <v>0.01</v>
      </c>
      <c r="F206" t="s">
        <v>312</v>
      </c>
      <c r="G206" t="s">
        <v>121</v>
      </c>
      <c r="H206">
        <v>103.883</v>
      </c>
      <c r="I206" t="s">
        <v>313</v>
      </c>
    </row>
    <row r="207" spans="1:9" x14ac:dyDescent="0.3">
      <c r="A207" t="s">
        <v>560</v>
      </c>
      <c r="B207" t="s">
        <v>561</v>
      </c>
      <c r="C207">
        <v>108.81019013787601</v>
      </c>
      <c r="D207">
        <v>9.1903157115419895E-3</v>
      </c>
      <c r="E207">
        <v>6.0000000000000001E-3</v>
      </c>
      <c r="F207" t="s">
        <v>314</v>
      </c>
      <c r="G207" t="s">
        <v>121</v>
      </c>
      <c r="H207">
        <v>174.87</v>
      </c>
      <c r="I207" t="s">
        <v>315</v>
      </c>
    </row>
    <row r="208" spans="1:9" x14ac:dyDescent="0.3">
      <c r="A208" t="s">
        <v>562</v>
      </c>
      <c r="B208" t="s">
        <v>563</v>
      </c>
      <c r="C208">
        <v>13.5331102907948</v>
      </c>
      <c r="D208">
        <v>7.3892843441924497E-2</v>
      </c>
      <c r="E208">
        <v>1.7999999999999999E-2</v>
      </c>
      <c r="F208" t="s">
        <v>316</v>
      </c>
      <c r="G208" t="s">
        <v>121</v>
      </c>
      <c r="H208">
        <v>54.335000000000001</v>
      </c>
      <c r="I208" t="s">
        <v>317</v>
      </c>
    </row>
    <row r="209" spans="1:9" x14ac:dyDescent="0.3">
      <c r="A209" t="s">
        <v>564</v>
      </c>
      <c r="B209" t="s">
        <v>565</v>
      </c>
      <c r="C209">
        <v>404.96423391191303</v>
      </c>
      <c r="D209">
        <v>2.46935387439058E-3</v>
      </c>
      <c r="E209">
        <v>0.159</v>
      </c>
      <c r="F209" t="s">
        <v>318</v>
      </c>
      <c r="G209" t="s">
        <v>121</v>
      </c>
      <c r="H209">
        <v>6.3</v>
      </c>
      <c r="I209" t="s">
        <v>319</v>
      </c>
    </row>
    <row r="210" spans="1:9" x14ac:dyDescent="0.3">
      <c r="A210" t="s">
        <v>566</v>
      </c>
      <c r="B210" t="s">
        <v>567</v>
      </c>
      <c r="C210">
        <v>1.7003827114691501</v>
      </c>
      <c r="D210">
        <v>0.58810289780938896</v>
      </c>
      <c r="E210">
        <v>2E-3</v>
      </c>
      <c r="F210" t="s">
        <v>199</v>
      </c>
      <c r="G210" t="s">
        <v>121</v>
      </c>
      <c r="H210">
        <v>513.92200000000003</v>
      </c>
      <c r="I210" t="s">
        <v>180</v>
      </c>
    </row>
    <row r="211" spans="1:9" x14ac:dyDescent="0.3">
      <c r="A211" t="s">
        <v>568</v>
      </c>
      <c r="B211" t="s">
        <v>569</v>
      </c>
      <c r="C211">
        <v>8.2304415725154403</v>
      </c>
      <c r="D211">
        <v>0.121500163896354</v>
      </c>
      <c r="E211">
        <v>0.13200000000000001</v>
      </c>
      <c r="F211" t="s">
        <v>320</v>
      </c>
      <c r="G211" t="s">
        <v>121</v>
      </c>
      <c r="H211">
        <v>7.55</v>
      </c>
      <c r="I211" t="s">
        <v>321</v>
      </c>
    </row>
    <row r="212" spans="1:9" x14ac:dyDescent="0.3">
      <c r="A212" t="s">
        <v>570</v>
      </c>
      <c r="B212" t="s">
        <v>571</v>
      </c>
      <c r="C212">
        <v>22644.019821121499</v>
      </c>
      <c r="D212">
        <v>4.4161770211278097E-5</v>
      </c>
      <c r="E212">
        <v>0.33100000000000002</v>
      </c>
      <c r="F212" t="s">
        <v>322</v>
      </c>
      <c r="G212" t="s">
        <v>121</v>
      </c>
      <c r="H212">
        <v>3.0230000000000001</v>
      </c>
      <c r="I212" t="s">
        <v>323</v>
      </c>
    </row>
    <row r="213" spans="1:9" x14ac:dyDescent="0.3">
      <c r="A213" t="s">
        <v>572</v>
      </c>
      <c r="B213" t="s">
        <v>573</v>
      </c>
      <c r="C213">
        <v>2.3673843887942199</v>
      </c>
      <c r="D213">
        <v>0.42240711087451499</v>
      </c>
      <c r="E213">
        <v>5.0000000000000001E-3</v>
      </c>
      <c r="F213" t="s">
        <v>324</v>
      </c>
      <c r="G213" t="s">
        <v>121</v>
      </c>
      <c r="H213">
        <v>219.77500000000001</v>
      </c>
      <c r="I213" t="s">
        <v>325</v>
      </c>
    </row>
    <row r="214" spans="1:9" x14ac:dyDescent="0.3">
      <c r="A214" t="s">
        <v>574</v>
      </c>
      <c r="B214" t="s">
        <v>575</v>
      </c>
      <c r="C214">
        <v>2.0238984484813698</v>
      </c>
      <c r="D214">
        <v>0.49409593685411701</v>
      </c>
      <c r="E214">
        <v>6.7000000000000004E-2</v>
      </c>
      <c r="F214" t="s">
        <v>326</v>
      </c>
      <c r="G214" t="s">
        <v>121</v>
      </c>
      <c r="H214">
        <v>14.94</v>
      </c>
      <c r="I214" t="s">
        <v>327</v>
      </c>
    </row>
    <row r="215" spans="1:9" x14ac:dyDescent="0.3">
      <c r="A215" t="s">
        <v>576</v>
      </c>
      <c r="B215" t="s">
        <v>136</v>
      </c>
      <c r="C215">
        <v>67.796593783840294</v>
      </c>
      <c r="D215">
        <v>1.4750003564904E-2</v>
      </c>
      <c r="E215">
        <v>1.6E-2</v>
      </c>
      <c r="F215" t="s">
        <v>328</v>
      </c>
      <c r="G215" t="s">
        <v>121</v>
      </c>
      <c r="H215">
        <v>61.820999999999998</v>
      </c>
      <c r="I215" t="s">
        <v>329</v>
      </c>
    </row>
    <row r="216" spans="1:9" x14ac:dyDescent="0.3">
      <c r="A216" t="s">
        <v>577</v>
      </c>
      <c r="B216" t="s">
        <v>578</v>
      </c>
      <c r="C216">
        <v>1683.4228111269799</v>
      </c>
      <c r="D216">
        <v>5.9402783031705601E-4</v>
      </c>
      <c r="E216">
        <v>2E-3</v>
      </c>
      <c r="F216" t="s">
        <v>330</v>
      </c>
      <c r="G216" t="s">
        <v>121</v>
      </c>
      <c r="H216">
        <v>621.44299999999998</v>
      </c>
      <c r="I216" t="s">
        <v>331</v>
      </c>
    </row>
    <row r="217" spans="1:9" x14ac:dyDescent="0.3">
      <c r="A217" t="s">
        <v>579</v>
      </c>
      <c r="B217" t="s">
        <v>580</v>
      </c>
      <c r="C217">
        <v>2855.8730730623602</v>
      </c>
      <c r="D217">
        <v>3.5015561771017099E-4</v>
      </c>
      <c r="E217">
        <v>0.01</v>
      </c>
      <c r="F217" t="s">
        <v>332</v>
      </c>
      <c r="G217" t="s">
        <v>121</v>
      </c>
      <c r="H217">
        <v>99.227000000000004</v>
      </c>
      <c r="I217" t="s">
        <v>333</v>
      </c>
    </row>
    <row r="218" spans="1:9" x14ac:dyDescent="0.3">
      <c r="A218" t="s">
        <v>581</v>
      </c>
      <c r="B218" t="s">
        <v>582</v>
      </c>
      <c r="C218">
        <v>132.18424798787601</v>
      </c>
      <c r="D218">
        <v>7.5651979356248199E-3</v>
      </c>
      <c r="E218">
        <v>1.595</v>
      </c>
      <c r="F218" t="s">
        <v>334</v>
      </c>
      <c r="G218" t="s">
        <v>121</v>
      </c>
      <c r="H218">
        <v>0.627</v>
      </c>
      <c r="I218" t="s">
        <v>335</v>
      </c>
    </row>
    <row r="219" spans="1:9" x14ac:dyDescent="0.3">
      <c r="A219" t="s">
        <v>583</v>
      </c>
      <c r="B219" t="s">
        <v>584</v>
      </c>
      <c r="C219">
        <v>568.9926840526</v>
      </c>
      <c r="D219">
        <v>1.7574918413319201E-3</v>
      </c>
      <c r="E219">
        <v>0.374</v>
      </c>
      <c r="F219" t="s">
        <v>336</v>
      </c>
      <c r="G219" t="s">
        <v>121</v>
      </c>
      <c r="H219">
        <v>2.677</v>
      </c>
      <c r="I219" t="s">
        <v>337</v>
      </c>
    </row>
    <row r="220" spans="1:9" x14ac:dyDescent="0.3">
      <c r="A220" t="s">
        <v>585</v>
      </c>
      <c r="B220" t="s">
        <v>586</v>
      </c>
      <c r="C220">
        <v>8587.6910907581296</v>
      </c>
      <c r="D220">
        <v>1.16445734881658E-4</v>
      </c>
      <c r="E220">
        <v>3.7999999999999999E-2</v>
      </c>
      <c r="F220" t="s">
        <v>338</v>
      </c>
      <c r="G220" t="s">
        <v>121</v>
      </c>
      <c r="H220">
        <v>26.638000000000002</v>
      </c>
      <c r="I220" t="s">
        <v>339</v>
      </c>
    </row>
    <row r="221" spans="1:9" x14ac:dyDescent="0.3">
      <c r="A221" t="s">
        <v>587</v>
      </c>
      <c r="B221" t="s">
        <v>588</v>
      </c>
      <c r="C221">
        <v>3417.2930856258899</v>
      </c>
      <c r="D221">
        <v>2.9262927555329701E-4</v>
      </c>
      <c r="E221">
        <v>4.2999999999999997E-2</v>
      </c>
      <c r="F221" t="s">
        <v>340</v>
      </c>
      <c r="G221" t="s">
        <v>121</v>
      </c>
      <c r="H221">
        <v>23.204000000000001</v>
      </c>
      <c r="I221" t="s">
        <v>341</v>
      </c>
    </row>
    <row r="222" spans="1:9" x14ac:dyDescent="0.3">
      <c r="A222" t="s">
        <v>589</v>
      </c>
      <c r="B222" t="s">
        <v>590</v>
      </c>
      <c r="C222">
        <v>15.41457112772</v>
      </c>
      <c r="D222">
        <v>6.4873682940273306E-2</v>
      </c>
      <c r="E222">
        <v>0.14199999999999999</v>
      </c>
      <c r="F222" t="s">
        <v>342</v>
      </c>
      <c r="G222" t="s">
        <v>121</v>
      </c>
      <c r="H222">
        <v>7.048</v>
      </c>
      <c r="I222" t="s">
        <v>343</v>
      </c>
    </row>
    <row r="223" spans="1:9" x14ac:dyDescent="0.3">
      <c r="A223" t="s">
        <v>591</v>
      </c>
      <c r="B223" t="s">
        <v>592</v>
      </c>
      <c r="C223">
        <v>2757.8345546867299</v>
      </c>
      <c r="D223">
        <v>3.6260333249526301E-4</v>
      </c>
      <c r="F223" t="s">
        <v>419</v>
      </c>
    </row>
    <row r="224" spans="1:9" x14ac:dyDescent="0.3">
      <c r="A224" t="s">
        <v>593</v>
      </c>
      <c r="B224" t="s">
        <v>594</v>
      </c>
      <c r="C224">
        <v>23.020356521320299</v>
      </c>
      <c r="D224">
        <v>4.3439813761087798E-2</v>
      </c>
      <c r="E224" t="s">
        <v>210</v>
      </c>
      <c r="F224" t="s">
        <v>118</v>
      </c>
      <c r="G224" t="s">
        <v>119</v>
      </c>
      <c r="H224" t="s">
        <v>211</v>
      </c>
      <c r="I224" t="s">
        <v>118</v>
      </c>
    </row>
    <row r="225" spans="1:9" x14ac:dyDescent="0.3">
      <c r="A225" t="s">
        <v>595</v>
      </c>
      <c r="B225" t="s">
        <v>596</v>
      </c>
      <c r="C225">
        <v>10.9520920335661</v>
      </c>
      <c r="D225">
        <v>9.1306756456682403E-2</v>
      </c>
      <c r="E225">
        <v>0</v>
      </c>
      <c r="F225" t="s">
        <v>344</v>
      </c>
      <c r="G225" t="s">
        <v>121</v>
      </c>
      <c r="H225">
        <v>2219.7060000000001</v>
      </c>
      <c r="I225" t="s">
        <v>345</v>
      </c>
    </row>
    <row r="226" spans="1:9" x14ac:dyDescent="0.3">
      <c r="A226" t="s">
        <v>597</v>
      </c>
      <c r="B226" t="s">
        <v>598</v>
      </c>
      <c r="C226">
        <v>900.00332052580802</v>
      </c>
      <c r="D226">
        <v>1.1111070117116499E-3</v>
      </c>
      <c r="E226">
        <v>3.6999999999999998E-2</v>
      </c>
      <c r="F226" t="s">
        <v>346</v>
      </c>
      <c r="G226" t="s">
        <v>121</v>
      </c>
      <c r="H226">
        <v>27.082000000000001</v>
      </c>
      <c r="I226" t="s">
        <v>347</v>
      </c>
    </row>
    <row r="227" spans="1:9" x14ac:dyDescent="0.3">
      <c r="A227" t="s">
        <v>599</v>
      </c>
      <c r="B227" t="s">
        <v>600</v>
      </c>
      <c r="C227">
        <v>89.429093002043004</v>
      </c>
      <c r="D227">
        <v>1.11820434092645E-2</v>
      </c>
      <c r="E227">
        <v>8.9999999999999993E-3</v>
      </c>
      <c r="F227" t="s">
        <v>193</v>
      </c>
      <c r="G227" t="s">
        <v>121</v>
      </c>
      <c r="H227">
        <v>106.986</v>
      </c>
      <c r="I227" t="s">
        <v>348</v>
      </c>
    </row>
    <row r="228" spans="1:9" x14ac:dyDescent="0.3">
      <c r="A228" t="s">
        <v>601</v>
      </c>
      <c r="B228" t="s">
        <v>602</v>
      </c>
      <c r="C228">
        <v>192.00702741926199</v>
      </c>
      <c r="D228">
        <v>5.2081427093625104E-3</v>
      </c>
      <c r="E228">
        <v>50.319000000000003</v>
      </c>
      <c r="F228" t="s">
        <v>349</v>
      </c>
      <c r="G228" t="s">
        <v>121</v>
      </c>
      <c r="H228">
        <v>0.02</v>
      </c>
      <c r="I228" t="s">
        <v>350</v>
      </c>
    </row>
    <row r="229" spans="1:9" x14ac:dyDescent="0.3">
      <c r="A229" t="s">
        <v>603</v>
      </c>
      <c r="B229" t="s">
        <v>604</v>
      </c>
      <c r="C229">
        <v>18.958788344509799</v>
      </c>
      <c r="D229">
        <v>5.2745986812473798E-2</v>
      </c>
      <c r="E229">
        <v>1.5649999999999999</v>
      </c>
      <c r="F229" t="s">
        <v>351</v>
      </c>
      <c r="G229" t="s">
        <v>121</v>
      </c>
      <c r="H229">
        <v>0.63900000000000001</v>
      </c>
      <c r="I229" t="s">
        <v>352</v>
      </c>
    </row>
    <row r="230" spans="1:9" x14ac:dyDescent="0.3">
      <c r="A230" t="s">
        <v>605</v>
      </c>
      <c r="B230" t="s">
        <v>606</v>
      </c>
      <c r="C230">
        <v>2099.02631600002</v>
      </c>
      <c r="D230">
        <v>4.76411368631925E-4</v>
      </c>
      <c r="E230">
        <v>4.0000000000000001E-3</v>
      </c>
      <c r="F230" t="s">
        <v>353</v>
      </c>
      <c r="G230" t="s">
        <v>121</v>
      </c>
      <c r="H230">
        <v>230.203</v>
      </c>
      <c r="I230" t="s">
        <v>354</v>
      </c>
    </row>
    <row r="231" spans="1:9" x14ac:dyDescent="0.3">
      <c r="A231" t="s">
        <v>607</v>
      </c>
      <c r="B231" t="s">
        <v>608</v>
      </c>
      <c r="C231">
        <v>0.79463655149642898</v>
      </c>
      <c r="D231">
        <v>1.25843695223538</v>
      </c>
      <c r="E231">
        <v>1E-3</v>
      </c>
      <c r="F231" t="s">
        <v>355</v>
      </c>
      <c r="G231" t="s">
        <v>121</v>
      </c>
      <c r="H231">
        <v>1180.0219999999999</v>
      </c>
      <c r="I231" t="s">
        <v>356</v>
      </c>
    </row>
    <row r="232" spans="1:9" x14ac:dyDescent="0.3">
      <c r="A232" t="s">
        <v>609</v>
      </c>
      <c r="B232" t="s">
        <v>610</v>
      </c>
      <c r="C232">
        <v>1.1072590022041999E-3</v>
      </c>
      <c r="D232">
        <v>903.131063291705</v>
      </c>
      <c r="E232">
        <v>0</v>
      </c>
      <c r="F232" t="s">
        <v>357</v>
      </c>
      <c r="G232" t="s">
        <v>121</v>
      </c>
      <c r="H232">
        <v>2717.0859999999998</v>
      </c>
      <c r="I232" t="s">
        <v>358</v>
      </c>
    </row>
    <row r="233" spans="1:9" x14ac:dyDescent="0.3">
      <c r="A233" t="s">
        <v>611</v>
      </c>
      <c r="B233" t="s">
        <v>124</v>
      </c>
      <c r="C233">
        <v>17.871396696073699</v>
      </c>
      <c r="D233">
        <v>5.5955335612895701E-2</v>
      </c>
      <c r="E233">
        <v>17.963000000000001</v>
      </c>
      <c r="F233" t="s">
        <v>359</v>
      </c>
      <c r="G233" t="s">
        <v>121</v>
      </c>
      <c r="H233">
        <v>5.6000000000000001E-2</v>
      </c>
      <c r="I233" t="s">
        <v>360</v>
      </c>
    </row>
    <row r="234" spans="1:9" x14ac:dyDescent="0.3">
      <c r="A234" t="s">
        <v>612</v>
      </c>
      <c r="B234" t="s">
        <v>613</v>
      </c>
      <c r="C234">
        <v>23.995521243178899</v>
      </c>
      <c r="D234">
        <v>4.1674443737464699E-2</v>
      </c>
      <c r="E234">
        <v>4.1230000000000002</v>
      </c>
      <c r="F234" t="s">
        <v>361</v>
      </c>
      <c r="G234" t="s">
        <v>121</v>
      </c>
      <c r="H234">
        <v>0.24299999999999999</v>
      </c>
      <c r="I234" t="s">
        <v>362</v>
      </c>
    </row>
    <row r="235" spans="1:9" x14ac:dyDescent="0.3">
      <c r="A235" t="s">
        <v>614</v>
      </c>
      <c r="B235" t="s">
        <v>615</v>
      </c>
      <c r="C235">
        <v>4070.1216697910399</v>
      </c>
      <c r="D235">
        <v>2.4569290088355899E-4</v>
      </c>
      <c r="E235">
        <v>0</v>
      </c>
      <c r="F235" t="s">
        <v>363</v>
      </c>
      <c r="G235" t="s">
        <v>121</v>
      </c>
      <c r="H235">
        <v>2173.6570000000002</v>
      </c>
      <c r="I235" t="s">
        <v>364</v>
      </c>
    </row>
    <row r="236" spans="1:9" x14ac:dyDescent="0.3">
      <c r="A236" t="s">
        <v>616</v>
      </c>
      <c r="B236" t="s">
        <v>123</v>
      </c>
      <c r="C236">
        <v>57.184190594867303</v>
      </c>
      <c r="D236">
        <v>1.7487350779950599E-2</v>
      </c>
      <c r="E236">
        <v>4.0000000000000001E-3</v>
      </c>
      <c r="F236" t="s">
        <v>365</v>
      </c>
      <c r="G236" t="s">
        <v>121</v>
      </c>
      <c r="H236">
        <v>229.29599999999999</v>
      </c>
      <c r="I236" t="s">
        <v>366</v>
      </c>
    </row>
    <row r="237" spans="1:9" x14ac:dyDescent="0.3">
      <c r="A237" t="s">
        <v>617</v>
      </c>
      <c r="B237" t="s">
        <v>618</v>
      </c>
      <c r="C237">
        <v>120.464140757064</v>
      </c>
      <c r="D237">
        <v>8.30122552417209E-3</v>
      </c>
      <c r="E237">
        <v>4.0000000000000001E-3</v>
      </c>
      <c r="F237" t="s">
        <v>367</v>
      </c>
      <c r="G237" t="s">
        <v>121</v>
      </c>
      <c r="H237">
        <v>223.10900000000001</v>
      </c>
      <c r="I237" t="s">
        <v>368</v>
      </c>
    </row>
    <row r="238" spans="1:9" x14ac:dyDescent="0.3">
      <c r="A238" t="s">
        <v>619</v>
      </c>
      <c r="B238" t="s">
        <v>620</v>
      </c>
      <c r="C238">
        <v>1.78984455607943</v>
      </c>
      <c r="D238">
        <v>0.55870773615696001</v>
      </c>
      <c r="E238">
        <v>4.0000000000000001E-3</v>
      </c>
      <c r="F238" t="s">
        <v>208</v>
      </c>
      <c r="G238" t="s">
        <v>121</v>
      </c>
      <c r="H238">
        <v>227.821</v>
      </c>
      <c r="I238" t="s">
        <v>369</v>
      </c>
    </row>
    <row r="239" spans="1:9" x14ac:dyDescent="0.3">
      <c r="A239" t="s">
        <v>621</v>
      </c>
      <c r="B239" t="s">
        <v>622</v>
      </c>
      <c r="C239">
        <v>39.6349302060461</v>
      </c>
      <c r="D239">
        <v>2.5230270238938202E-2</v>
      </c>
      <c r="E239">
        <v>0.29899999999999999</v>
      </c>
      <c r="F239" t="s">
        <v>370</v>
      </c>
      <c r="G239" t="s">
        <v>121</v>
      </c>
      <c r="H239">
        <v>3.3420000000000001</v>
      </c>
      <c r="I239" t="s">
        <v>371</v>
      </c>
    </row>
    <row r="240" spans="1:9" x14ac:dyDescent="0.3">
      <c r="A240" t="s">
        <v>623</v>
      </c>
      <c r="B240" t="s">
        <v>624</v>
      </c>
      <c r="C240">
        <v>18.958788344509799</v>
      </c>
      <c r="D240">
        <v>5.2745986812473798E-2</v>
      </c>
      <c r="F240" t="s">
        <v>419</v>
      </c>
    </row>
    <row r="241" spans="1:9" x14ac:dyDescent="0.3">
      <c r="A241" t="s">
        <v>625</v>
      </c>
      <c r="B241" t="s">
        <v>626</v>
      </c>
      <c r="C241">
        <v>102.387110031265</v>
      </c>
      <c r="D241">
        <v>9.7668544379720997E-3</v>
      </c>
      <c r="E241" t="s">
        <v>210</v>
      </c>
      <c r="F241" t="s">
        <v>118</v>
      </c>
      <c r="G241" t="s">
        <v>119</v>
      </c>
      <c r="H241" t="s">
        <v>211</v>
      </c>
      <c r="I241" t="s">
        <v>118</v>
      </c>
    </row>
    <row r="242" spans="1:9" x14ac:dyDescent="0.3">
      <c r="A242" t="s">
        <v>627</v>
      </c>
      <c r="B242" t="s">
        <v>628</v>
      </c>
      <c r="C242">
        <v>36.141768695942297</v>
      </c>
      <c r="D242">
        <v>2.7668817439813601E-2</v>
      </c>
      <c r="E242">
        <v>0.161</v>
      </c>
      <c r="F242" t="s">
        <v>372</v>
      </c>
      <c r="G242" t="s">
        <v>121</v>
      </c>
      <c r="H242">
        <v>6.2229999999999999</v>
      </c>
      <c r="I242" t="s">
        <v>373</v>
      </c>
    </row>
    <row r="243" spans="1:9" x14ac:dyDescent="0.3">
      <c r="A243" t="s">
        <v>629</v>
      </c>
      <c r="B243" t="s">
        <v>630</v>
      </c>
      <c r="C243">
        <v>8.75</v>
      </c>
      <c r="D243">
        <v>0.114285714285714</v>
      </c>
      <c r="E243">
        <v>3.4119999999999999</v>
      </c>
      <c r="F243" t="s">
        <v>374</v>
      </c>
      <c r="G243" t="s">
        <v>121</v>
      </c>
      <c r="H243">
        <v>0.29299999999999998</v>
      </c>
      <c r="I243" t="s">
        <v>375</v>
      </c>
    </row>
    <row r="244" spans="1:9" x14ac:dyDescent="0.3">
      <c r="A244" t="s">
        <v>631</v>
      </c>
      <c r="B244" t="s">
        <v>632</v>
      </c>
      <c r="C244">
        <v>1.0712025301296299E-3</v>
      </c>
      <c r="D244">
        <v>933.53028197103401</v>
      </c>
      <c r="E244">
        <v>0.72799999999999998</v>
      </c>
      <c r="F244" t="s">
        <v>376</v>
      </c>
      <c r="G244" t="s">
        <v>121</v>
      </c>
      <c r="H244">
        <v>1.3740000000000001</v>
      </c>
      <c r="I244" t="s">
        <v>377</v>
      </c>
    </row>
    <row r="245" spans="1:9" x14ac:dyDescent="0.3">
      <c r="A245" t="s">
        <v>633</v>
      </c>
      <c r="B245" t="s">
        <v>127</v>
      </c>
      <c r="C245">
        <v>1</v>
      </c>
      <c r="D245">
        <v>1</v>
      </c>
      <c r="E245">
        <v>0.54600000000000004</v>
      </c>
      <c r="F245" t="s">
        <v>378</v>
      </c>
      <c r="G245" t="s">
        <v>121</v>
      </c>
      <c r="H245">
        <v>1.831</v>
      </c>
      <c r="I245" t="s">
        <v>379</v>
      </c>
    </row>
    <row r="246" spans="1:9" x14ac:dyDescent="0.3">
      <c r="A246" t="s">
        <v>634</v>
      </c>
      <c r="B246" t="s">
        <v>635</v>
      </c>
      <c r="C246">
        <v>0.75506764696253503</v>
      </c>
      <c r="D246">
        <v>1.3243846482136601</v>
      </c>
      <c r="E246">
        <v>6.8000000000000005E-2</v>
      </c>
      <c r="F246" t="s">
        <v>380</v>
      </c>
      <c r="G246" t="s">
        <v>121</v>
      </c>
      <c r="H246">
        <v>14.765000000000001</v>
      </c>
      <c r="I246" t="s">
        <v>381</v>
      </c>
    </row>
    <row r="247" spans="1:9" x14ac:dyDescent="0.3">
      <c r="A247" t="s">
        <v>636</v>
      </c>
      <c r="B247" t="s">
        <v>637</v>
      </c>
      <c r="C247">
        <v>1272.7796207848601</v>
      </c>
      <c r="D247">
        <v>7.8568197013033705E-4</v>
      </c>
      <c r="E247">
        <v>8.1000000000000003E-2</v>
      </c>
      <c r="F247" t="s">
        <v>382</v>
      </c>
      <c r="G247" t="s">
        <v>121</v>
      </c>
      <c r="H247">
        <v>12.351000000000001</v>
      </c>
      <c r="I247" t="s">
        <v>383</v>
      </c>
    </row>
    <row r="248" spans="1:9" x14ac:dyDescent="0.3">
      <c r="A248" t="s">
        <v>638</v>
      </c>
      <c r="B248" t="s">
        <v>639</v>
      </c>
      <c r="C248">
        <v>1.79</v>
      </c>
      <c r="D248">
        <v>0.55865921787709405</v>
      </c>
      <c r="E248">
        <v>10.271000000000001</v>
      </c>
      <c r="F248" t="s">
        <v>384</v>
      </c>
      <c r="G248" t="s">
        <v>121</v>
      </c>
      <c r="H248">
        <v>9.7000000000000003E-2</v>
      </c>
      <c r="I248" t="s">
        <v>385</v>
      </c>
    </row>
    <row r="249" spans="1:9" x14ac:dyDescent="0.3">
      <c r="A249" t="s">
        <v>640</v>
      </c>
      <c r="B249" t="s">
        <v>641</v>
      </c>
      <c r="C249">
        <v>83.051378292162795</v>
      </c>
      <c r="D249">
        <v>1.2040739365963799E-2</v>
      </c>
      <c r="E249">
        <v>0.17399999999999999</v>
      </c>
      <c r="F249" t="s">
        <v>386</v>
      </c>
      <c r="G249" t="s">
        <v>121</v>
      </c>
      <c r="H249">
        <v>5.7510000000000003</v>
      </c>
      <c r="I249" t="s">
        <v>387</v>
      </c>
    </row>
    <row r="250" spans="1:9" x14ac:dyDescent="0.3">
      <c r="A250" t="s">
        <v>642</v>
      </c>
      <c r="B250" t="s">
        <v>643</v>
      </c>
      <c r="C250">
        <v>178.00051448669501</v>
      </c>
      <c r="D250">
        <v>5.6179612900767303E-3</v>
      </c>
      <c r="E250">
        <v>2.3E-2</v>
      </c>
      <c r="F250" t="s">
        <v>388</v>
      </c>
      <c r="G250" t="s">
        <v>121</v>
      </c>
      <c r="H250">
        <v>44.087000000000003</v>
      </c>
      <c r="I250" t="s">
        <v>389</v>
      </c>
    </row>
    <row r="251" spans="1:9" x14ac:dyDescent="0.3">
      <c r="A251" t="s">
        <v>644</v>
      </c>
      <c r="B251" t="s">
        <v>645</v>
      </c>
      <c r="C251">
        <v>456.79836901318498</v>
      </c>
      <c r="D251">
        <v>2.18914967266692E-3</v>
      </c>
      <c r="E251">
        <v>2.0110000000000001</v>
      </c>
      <c r="F251" t="s">
        <v>390</v>
      </c>
      <c r="G251" t="s">
        <v>121</v>
      </c>
      <c r="H251">
        <v>0.497</v>
      </c>
      <c r="I251" t="s">
        <v>391</v>
      </c>
    </row>
    <row r="252" spans="1:9" x14ac:dyDescent="0.3">
      <c r="A252" t="s">
        <v>646</v>
      </c>
      <c r="B252" t="s">
        <v>647</v>
      </c>
      <c r="C252">
        <v>15</v>
      </c>
      <c r="D252">
        <v>6.6666666666666596E-2</v>
      </c>
      <c r="E252">
        <v>5.5E-2</v>
      </c>
      <c r="F252" t="s">
        <v>392</v>
      </c>
      <c r="G252" t="s">
        <v>121</v>
      </c>
      <c r="H252">
        <v>18.338000000000001</v>
      </c>
      <c r="I252" t="s">
        <v>393</v>
      </c>
    </row>
    <row r="253" spans="1:9" x14ac:dyDescent="0.3">
      <c r="A253" t="s">
        <v>648</v>
      </c>
      <c r="B253" t="s">
        <v>649</v>
      </c>
      <c r="C253">
        <v>0.79463655149642898</v>
      </c>
      <c r="D253">
        <v>1.25843695223538</v>
      </c>
      <c r="E253">
        <v>1.2E-2</v>
      </c>
      <c r="F253" t="s">
        <v>394</v>
      </c>
      <c r="G253" t="s">
        <v>121</v>
      </c>
      <c r="H253">
        <v>82.99</v>
      </c>
      <c r="I253" t="s">
        <v>395</v>
      </c>
    </row>
    <row r="254" spans="1:9" x14ac:dyDescent="0.3">
      <c r="A254" t="s">
        <v>650</v>
      </c>
      <c r="B254" t="s">
        <v>651</v>
      </c>
      <c r="C254">
        <v>0.79463655149642898</v>
      </c>
      <c r="D254">
        <v>1.25843695223538</v>
      </c>
      <c r="E254">
        <v>2.3E-2</v>
      </c>
      <c r="F254" t="s">
        <v>396</v>
      </c>
      <c r="G254" t="s">
        <v>121</v>
      </c>
      <c r="H254">
        <v>44.087000000000003</v>
      </c>
      <c r="I254" t="s">
        <v>397</v>
      </c>
    </row>
    <row r="255" spans="1:9" x14ac:dyDescent="0.3">
      <c r="A255" t="s">
        <v>652</v>
      </c>
      <c r="B255" t="s">
        <v>653</v>
      </c>
      <c r="C255">
        <v>0.16666666599999999</v>
      </c>
      <c r="D255">
        <v>6.0000000240000002</v>
      </c>
      <c r="E255">
        <v>4.3999999999999997E-2</v>
      </c>
      <c r="F255" t="s">
        <v>398</v>
      </c>
      <c r="G255" t="s">
        <v>121</v>
      </c>
      <c r="H255">
        <v>22.736000000000001</v>
      </c>
      <c r="I255" t="s">
        <v>399</v>
      </c>
    </row>
    <row r="256" spans="1:9" x14ac:dyDescent="0.3">
      <c r="A256" t="s">
        <v>654</v>
      </c>
      <c r="B256" t="s">
        <v>655</v>
      </c>
      <c r="C256">
        <v>2.7497845134300198</v>
      </c>
      <c r="D256">
        <v>0.36366485996119702</v>
      </c>
      <c r="E256">
        <v>1.83</v>
      </c>
      <c r="F256" t="s">
        <v>400</v>
      </c>
      <c r="G256" t="s">
        <v>121</v>
      </c>
      <c r="H256">
        <v>0.54700000000000004</v>
      </c>
      <c r="I256" t="s">
        <v>401</v>
      </c>
    </row>
    <row r="257" spans="1:9" x14ac:dyDescent="0.3">
      <c r="A257" t="s">
        <v>656</v>
      </c>
      <c r="B257" t="s">
        <v>657</v>
      </c>
      <c r="C257">
        <v>0.79463655149642898</v>
      </c>
      <c r="D257">
        <v>1.25843695223538</v>
      </c>
      <c r="E257">
        <v>1.5209999999999999</v>
      </c>
      <c r="F257" t="s">
        <v>402</v>
      </c>
      <c r="G257" t="s">
        <v>121</v>
      </c>
      <c r="H257">
        <v>0.65700000000000003</v>
      </c>
      <c r="I257" t="s">
        <v>403</v>
      </c>
    </row>
    <row r="258" spans="1:9" x14ac:dyDescent="0.3">
      <c r="A258" t="s">
        <v>658</v>
      </c>
      <c r="B258" t="s">
        <v>659</v>
      </c>
      <c r="C258">
        <v>3.4936373365826001</v>
      </c>
      <c r="D258">
        <v>0.28623463275045402</v>
      </c>
      <c r="E258">
        <v>3.0000000000000001E-3</v>
      </c>
      <c r="F258" t="s">
        <v>404</v>
      </c>
      <c r="G258" t="s">
        <v>121</v>
      </c>
      <c r="H258">
        <v>298.84100000000001</v>
      </c>
      <c r="I258" t="s">
        <v>405</v>
      </c>
    </row>
    <row r="259" spans="1:9" x14ac:dyDescent="0.3">
      <c r="A259" t="s">
        <v>660</v>
      </c>
      <c r="B259" t="s">
        <v>661</v>
      </c>
      <c r="C259">
        <v>0.79463655149642898</v>
      </c>
      <c r="D259">
        <v>1.25843695223538</v>
      </c>
      <c r="E259">
        <v>25.061</v>
      </c>
      <c r="F259" t="s">
        <v>406</v>
      </c>
      <c r="G259" t="s">
        <v>121</v>
      </c>
      <c r="H259">
        <v>0.04</v>
      </c>
      <c r="I259" t="s">
        <v>407</v>
      </c>
    </row>
    <row r="260" spans="1:9" x14ac:dyDescent="0.3">
      <c r="A260" t="s">
        <v>662</v>
      </c>
      <c r="B260" t="s">
        <v>663</v>
      </c>
      <c r="C260">
        <v>0.79463655149642898</v>
      </c>
      <c r="D260">
        <v>1.25843695223538</v>
      </c>
      <c r="E260">
        <v>2.3E-2</v>
      </c>
      <c r="F260" t="s">
        <v>201</v>
      </c>
      <c r="G260" t="s">
        <v>121</v>
      </c>
      <c r="H260">
        <v>44.09</v>
      </c>
      <c r="I260" t="s">
        <v>408</v>
      </c>
    </row>
    <row r="261" spans="1:9" x14ac:dyDescent="0.3">
      <c r="A261" t="s">
        <v>664</v>
      </c>
      <c r="B261" t="s">
        <v>665</v>
      </c>
      <c r="C261">
        <v>1.5302853039576101</v>
      </c>
      <c r="D261">
        <v>0.65347291607245095</v>
      </c>
      <c r="E261">
        <v>3.0470000000000002</v>
      </c>
      <c r="F261" t="s">
        <v>409</v>
      </c>
      <c r="G261" t="s">
        <v>121</v>
      </c>
      <c r="H261">
        <v>0.32800000000000001</v>
      </c>
      <c r="I261" t="s">
        <v>410</v>
      </c>
    </row>
    <row r="262" spans="1:9" x14ac:dyDescent="0.3">
      <c r="A262" t="s">
        <v>666</v>
      </c>
      <c r="B262" t="s">
        <v>667</v>
      </c>
      <c r="C262">
        <v>22.583312647192098</v>
      </c>
      <c r="D262">
        <v>4.4280483364974102E-2</v>
      </c>
      <c r="E262">
        <v>3.0000000000000001E-3</v>
      </c>
      <c r="F262" t="s">
        <v>411</v>
      </c>
      <c r="G262" t="s">
        <v>121</v>
      </c>
      <c r="H262">
        <v>349.416</v>
      </c>
      <c r="I262" t="s">
        <v>412</v>
      </c>
    </row>
    <row r="263" spans="1:9" x14ac:dyDescent="0.3">
      <c r="A263" t="s">
        <v>668</v>
      </c>
      <c r="B263" t="s">
        <v>669</v>
      </c>
      <c r="C263">
        <v>1.6303871107169099</v>
      </c>
      <c r="D263">
        <v>0.613351266964001</v>
      </c>
      <c r="E263">
        <v>4.0000000000000001E-3</v>
      </c>
      <c r="F263" t="s">
        <v>413</v>
      </c>
      <c r="G263" t="s">
        <v>121</v>
      </c>
      <c r="H263">
        <v>266.60899999999998</v>
      </c>
      <c r="I263" t="s">
        <v>414</v>
      </c>
    </row>
    <row r="264" spans="1:9" x14ac:dyDescent="0.3">
      <c r="A264" t="s">
        <v>670</v>
      </c>
      <c r="B264" t="s">
        <v>671</v>
      </c>
      <c r="C264">
        <v>3.72760502911726E-3</v>
      </c>
      <c r="D264">
        <v>268.26876565214002</v>
      </c>
      <c r="E264">
        <v>4.633</v>
      </c>
      <c r="F264" t="s">
        <v>415</v>
      </c>
      <c r="G264" t="s">
        <v>121</v>
      </c>
      <c r="H264">
        <v>0.216</v>
      </c>
      <c r="I264" t="s">
        <v>416</v>
      </c>
    </row>
    <row r="265" spans="1:9" x14ac:dyDescent="0.3">
      <c r="A265" t="s">
        <v>672</v>
      </c>
      <c r="B265" t="s">
        <v>171</v>
      </c>
      <c r="C265" s="4">
        <v>1.9299260879007202E-5</v>
      </c>
      <c r="D265">
        <v>51815.455849283302</v>
      </c>
      <c r="E265">
        <v>0.72799999999999998</v>
      </c>
      <c r="F265" t="s">
        <v>417</v>
      </c>
      <c r="G265" t="s">
        <v>121</v>
      </c>
      <c r="H265">
        <v>1.3740000000000001</v>
      </c>
      <c r="I265" t="s">
        <v>418</v>
      </c>
    </row>
    <row r="266" spans="1:9" x14ac:dyDescent="0.3">
      <c r="A266" t="s">
        <v>673</v>
      </c>
      <c r="B266" t="s">
        <v>673</v>
      </c>
      <c r="C266">
        <v>2.6390001176376299E-2</v>
      </c>
      <c r="D266">
        <v>37.893139652270001</v>
      </c>
    </row>
    <row r="267" spans="1:9" x14ac:dyDescent="0.3">
      <c r="A267" t="s">
        <v>674</v>
      </c>
      <c r="B267" t="s">
        <v>675</v>
      </c>
      <c r="C267">
        <v>7.2108850623680301</v>
      </c>
      <c r="D267">
        <v>0.13867923165476201</v>
      </c>
    </row>
    <row r="268" spans="1:9" x14ac:dyDescent="0.3">
      <c r="A268" t="s">
        <v>676</v>
      </c>
      <c r="B268" t="s">
        <v>677</v>
      </c>
      <c r="C268">
        <v>11.6215390495218</v>
      </c>
      <c r="D268">
        <v>8.60471229962564E-2</v>
      </c>
    </row>
    <row r="269" spans="1:9" x14ac:dyDescent="0.3">
      <c r="A269" t="s">
        <v>678</v>
      </c>
      <c r="B269" t="s">
        <v>679</v>
      </c>
      <c r="C269">
        <v>0.12983053409999801</v>
      </c>
      <c r="D269">
        <v>7.7023483491932501</v>
      </c>
    </row>
    <row r="270" spans="1:9" x14ac:dyDescent="0.3">
      <c r="A270" t="s">
        <v>680</v>
      </c>
      <c r="B270" t="s">
        <v>681</v>
      </c>
      <c r="C270" s="4">
        <v>3.4489284748171899E-4</v>
      </c>
      <c r="D270">
        <v>2899.45125653266</v>
      </c>
    </row>
    <row r="271" spans="1:9" x14ac:dyDescent="0.3">
      <c r="A271" t="s">
        <v>682</v>
      </c>
      <c r="B271" t="s">
        <v>683</v>
      </c>
      <c r="C271">
        <v>5.0125637230273301E-2</v>
      </c>
      <c r="D271">
        <v>19.949871069091301</v>
      </c>
    </row>
    <row r="272" spans="1:9" x14ac:dyDescent="0.3">
      <c r="A272" t="s">
        <v>684</v>
      </c>
      <c r="B272" t="s">
        <v>685</v>
      </c>
      <c r="C272">
        <v>1.41110902901854E-2</v>
      </c>
      <c r="D272">
        <v>70.8662462953355</v>
      </c>
    </row>
    <row r="273" spans="1:4" x14ac:dyDescent="0.3">
      <c r="A273" t="s">
        <v>686</v>
      </c>
      <c r="B273" t="s">
        <v>687</v>
      </c>
      <c r="C273">
        <v>1.64131083760727</v>
      </c>
      <c r="D273">
        <v>0.60926911410504903</v>
      </c>
    </row>
    <row r="274" spans="1:4" x14ac:dyDescent="0.3">
      <c r="A274" t="s">
        <v>688</v>
      </c>
      <c r="B274" t="s">
        <v>688</v>
      </c>
      <c r="C274">
        <v>2.1040531809436902</v>
      </c>
      <c r="D274">
        <v>0.47527315804417303</v>
      </c>
    </row>
    <row r="275" spans="1:4" x14ac:dyDescent="0.3">
      <c r="A275" t="s">
        <v>689</v>
      </c>
      <c r="B275" t="s">
        <v>571</v>
      </c>
      <c r="C275">
        <v>22.6440198211215</v>
      </c>
      <c r="D275">
        <v>4.4161770211278102E-2</v>
      </c>
    </row>
    <row r="276" spans="1:4" x14ac:dyDescent="0.3">
      <c r="A276" t="s">
        <v>690</v>
      </c>
      <c r="B276" t="s">
        <v>691</v>
      </c>
      <c r="C276">
        <v>0.132583830089882</v>
      </c>
      <c r="D276">
        <v>7.5423978876011804</v>
      </c>
    </row>
    <row r="277" spans="1:4" x14ac:dyDescent="0.3">
      <c r="A277" t="s">
        <v>692</v>
      </c>
      <c r="B277" t="s">
        <v>692</v>
      </c>
      <c r="C277">
        <v>36.2890217072814</v>
      </c>
      <c r="D277">
        <v>2.7556543355351699E-2</v>
      </c>
    </row>
    <row r="278" spans="1:4" x14ac:dyDescent="0.3">
      <c r="A278" t="s">
        <v>693</v>
      </c>
      <c r="B278" t="s">
        <v>693</v>
      </c>
      <c r="C278" s="4">
        <v>1.9299260879007202E-5</v>
      </c>
      <c r="D278">
        <v>51815.455849283302</v>
      </c>
    </row>
    <row r="279" spans="1:4" x14ac:dyDescent="0.3">
      <c r="A279" t="s">
        <v>694</v>
      </c>
      <c r="B279" t="s">
        <v>695</v>
      </c>
      <c r="C279">
        <v>8.5885030783711809</v>
      </c>
      <c r="D279">
        <v>0.116434725687919</v>
      </c>
    </row>
    <row r="280" spans="1:4" x14ac:dyDescent="0.3">
      <c r="A280" t="s">
        <v>696</v>
      </c>
      <c r="B280" t="s">
        <v>697</v>
      </c>
      <c r="C280">
        <v>1.79558301029759</v>
      </c>
      <c r="D280">
        <v>0.55692217751284001</v>
      </c>
    </row>
    <row r="281" spans="1:4" x14ac:dyDescent="0.3">
      <c r="A281" t="s">
        <v>698</v>
      </c>
      <c r="B281" t="s">
        <v>523</v>
      </c>
      <c r="C281">
        <v>13089.193944952</v>
      </c>
      <c r="D281">
        <v>7.6398898526952802E-5</v>
      </c>
    </row>
    <row r="283" spans="1:4" x14ac:dyDescent="0.3">
      <c r="A283" t="s">
        <v>699</v>
      </c>
    </row>
    <row r="284" spans="1:4" x14ac:dyDescent="0.3">
      <c r="A284" t="s">
        <v>453</v>
      </c>
      <c r="B284" t="s">
        <v>700</v>
      </c>
      <c r="C284" t="s">
        <v>701</v>
      </c>
    </row>
    <row r="285" spans="1:4" x14ac:dyDescent="0.3">
      <c r="A285" t="s">
        <v>702</v>
      </c>
      <c r="B285">
        <v>1.07626</v>
      </c>
      <c r="C285" t="s">
        <v>703</v>
      </c>
    </row>
    <row r="286" spans="1:4" x14ac:dyDescent="0.3">
      <c r="A286" t="s">
        <v>704</v>
      </c>
      <c r="B286">
        <v>1.1689799999999999</v>
      </c>
      <c r="C286" t="s">
        <v>703</v>
      </c>
    </row>
    <row r="287" spans="1:4" x14ac:dyDescent="0.3">
      <c r="A287" t="s">
        <v>705</v>
      </c>
      <c r="B287">
        <v>150.32400000000001</v>
      </c>
      <c r="C287" t="s">
        <v>708</v>
      </c>
    </row>
    <row r="288" spans="1:4" x14ac:dyDescent="0.3">
      <c r="A288" t="s">
        <v>706</v>
      </c>
      <c r="B288">
        <v>1.25813</v>
      </c>
      <c r="C288" t="s">
        <v>703</v>
      </c>
    </row>
    <row r="289" spans="1:3" x14ac:dyDescent="0.3">
      <c r="A289" t="s">
        <v>707</v>
      </c>
      <c r="B289">
        <v>0.88335799999999998</v>
      </c>
      <c r="C289" t="s">
        <v>708</v>
      </c>
    </row>
    <row r="290" spans="1:3" x14ac:dyDescent="0.3">
      <c r="A290" t="s">
        <v>709</v>
      </c>
      <c r="B290">
        <v>1.35083</v>
      </c>
      <c r="C290" t="s">
        <v>708</v>
      </c>
    </row>
    <row r="291" spans="1:3" x14ac:dyDescent="0.3">
      <c r="A291" t="s">
        <v>710</v>
      </c>
      <c r="B291">
        <v>161.78800000000001</v>
      </c>
      <c r="C291" t="s">
        <v>703</v>
      </c>
    </row>
    <row r="292" spans="1:3" x14ac:dyDescent="0.3">
      <c r="A292" t="s">
        <v>711</v>
      </c>
      <c r="B292">
        <v>0.65258400000000005</v>
      </c>
      <c r="C292" t="s">
        <v>703</v>
      </c>
    </row>
    <row r="294" spans="1:3" x14ac:dyDescent="0.3">
      <c r="A294" t="s">
        <v>712</v>
      </c>
    </row>
    <row r="295" spans="1:3" x14ac:dyDescent="0.3">
      <c r="A295" t="s">
        <v>453</v>
      </c>
      <c r="B295" t="s">
        <v>713</v>
      </c>
    </row>
    <row r="296" spans="1:3" x14ac:dyDescent="0.3">
      <c r="A296" t="s">
        <v>48</v>
      </c>
      <c r="B296" s="5">
        <v>-1E-3</v>
      </c>
    </row>
    <row r="297" spans="1:3" x14ac:dyDescent="0.3">
      <c r="A297" t="s">
        <v>102</v>
      </c>
      <c r="B297" s="5">
        <v>1.7500000000000002E-2</v>
      </c>
    </row>
    <row r="298" spans="1:3" x14ac:dyDescent="0.3">
      <c r="A298" t="s">
        <v>32</v>
      </c>
      <c r="B298" s="5">
        <v>4.4999999999999998E-2</v>
      </c>
    </row>
    <row r="299" spans="1:3" x14ac:dyDescent="0.3">
      <c r="A299" t="s">
        <v>110</v>
      </c>
      <c r="B299" s="5">
        <v>5.5E-2</v>
      </c>
    </row>
    <row r="300" spans="1:3" x14ac:dyDescent="0.3">
      <c r="A300" t="s">
        <v>12</v>
      </c>
      <c r="B300" s="5">
        <v>0.05</v>
      </c>
    </row>
    <row r="301" spans="1:3" x14ac:dyDescent="0.3">
      <c r="A301" t="s">
        <v>2</v>
      </c>
      <c r="B301" s="5">
        <v>4.3499999999999997E-2</v>
      </c>
    </row>
    <row r="302" spans="1:3" x14ac:dyDescent="0.3">
      <c r="A302" t="s">
        <v>70</v>
      </c>
      <c r="B302" s="5">
        <v>5.5E-2</v>
      </c>
    </row>
    <row r="303" spans="1:3" x14ac:dyDescent="0.3">
      <c r="A303" t="s">
        <v>10</v>
      </c>
      <c r="B303" s="5">
        <v>5.2499999999999998E-2</v>
      </c>
    </row>
    <row r="305" spans="1:1" x14ac:dyDescent="0.3">
      <c r="A305" t="s">
        <v>714</v>
      </c>
    </row>
    <row r="307" spans="1:1" x14ac:dyDescent="0.3">
      <c r="A307" t="s">
        <v>715</v>
      </c>
    </row>
    <row r="308" spans="1:1" x14ac:dyDescent="0.3">
      <c r="A308" t="s">
        <v>716</v>
      </c>
    </row>
    <row r="310" spans="1:1" x14ac:dyDescent="0.3">
      <c r="A310" t="s">
        <v>717</v>
      </c>
    </row>
    <row r="312" spans="1:1" x14ac:dyDescent="0.3">
      <c r="A312" t="s">
        <v>718</v>
      </c>
    </row>
    <row r="313" spans="1:1" x14ac:dyDescent="0.3">
      <c r="A313" t="s">
        <v>719</v>
      </c>
    </row>
    <row r="314" spans="1:1" x14ac:dyDescent="0.3">
      <c r="A314" t="s">
        <v>720</v>
      </c>
    </row>
    <row r="315" spans="1:1" x14ac:dyDescent="0.3">
      <c r="A315" t="s">
        <v>721</v>
      </c>
    </row>
    <row r="316" spans="1:1" x14ac:dyDescent="0.3">
      <c r="A316" t="s">
        <v>722</v>
      </c>
    </row>
    <row r="317" spans="1:1" x14ac:dyDescent="0.3">
      <c r="A317" t="s">
        <v>723</v>
      </c>
    </row>
    <row r="318" spans="1:1" x14ac:dyDescent="0.3">
      <c r="A318" t="s">
        <v>724</v>
      </c>
    </row>
    <row r="319" spans="1:1" x14ac:dyDescent="0.3">
      <c r="A319" t="s">
        <v>725</v>
      </c>
    </row>
    <row r="320" spans="1:1" x14ac:dyDescent="0.3">
      <c r="A320" t="s">
        <v>726</v>
      </c>
    </row>
    <row r="321" spans="1:1" x14ac:dyDescent="0.3">
      <c r="A321" t="s">
        <v>727</v>
      </c>
    </row>
    <row r="322" spans="1:1" x14ac:dyDescent="0.3">
      <c r="A322" t="s">
        <v>728</v>
      </c>
    </row>
    <row r="324" spans="1:1" x14ac:dyDescent="0.3">
      <c r="A324" t="s">
        <v>431</v>
      </c>
    </row>
    <row r="326" spans="1:1" x14ac:dyDescent="0.3">
      <c r="A326" t="s">
        <v>729</v>
      </c>
    </row>
    <row r="327" spans="1:1" x14ac:dyDescent="0.3">
      <c r="A327" t="s">
        <v>730</v>
      </c>
    </row>
    <row r="328" spans="1:1" x14ac:dyDescent="0.3">
      <c r="A328" t="s">
        <v>731</v>
      </c>
    </row>
    <row r="329" spans="1:1" x14ac:dyDescent="0.3">
      <c r="A329" t="s">
        <v>732</v>
      </c>
    </row>
    <row r="330" spans="1:1" x14ac:dyDescent="0.3">
      <c r="A330" t="s">
        <v>733</v>
      </c>
    </row>
    <row r="331" spans="1:1" x14ac:dyDescent="0.3">
      <c r="A331" t="s">
        <v>734</v>
      </c>
    </row>
    <row r="332" spans="1:1" x14ac:dyDescent="0.3">
      <c r="A332" t="s">
        <v>735</v>
      </c>
    </row>
    <row r="333" spans="1:1" x14ac:dyDescent="0.3">
      <c r="A333" t="s">
        <v>736</v>
      </c>
    </row>
    <row r="335" spans="1:1" x14ac:dyDescent="0.3">
      <c r="A335" t="s">
        <v>737</v>
      </c>
    </row>
    <row r="337" spans="1:1" x14ac:dyDescent="0.3">
      <c r="A337" t="s">
        <v>437</v>
      </c>
    </row>
    <row r="338" spans="1:1" x14ac:dyDescent="0.3">
      <c r="A338" t="s">
        <v>145</v>
      </c>
    </row>
    <row r="339" spans="1:1" x14ac:dyDescent="0.3">
      <c r="A339" t="s">
        <v>117</v>
      </c>
    </row>
    <row r="340" spans="1:1" x14ac:dyDescent="0.3">
      <c r="A340" t="s">
        <v>439</v>
      </c>
    </row>
    <row r="341" spans="1:1" x14ac:dyDescent="0.3">
      <c r="A341" t="s">
        <v>427</v>
      </c>
    </row>
    <row r="342" spans="1:1" x14ac:dyDescent="0.3">
      <c r="A342" t="s">
        <v>738</v>
      </c>
    </row>
    <row r="343" spans="1:1" x14ac:dyDescent="0.3">
      <c r="A343" t="s">
        <v>429</v>
      </c>
    </row>
    <row r="344" spans="1:1" x14ac:dyDescent="0.3">
      <c r="A344" t="s">
        <v>440</v>
      </c>
    </row>
    <row r="345" spans="1:1" x14ac:dyDescent="0.3">
      <c r="A345" t="s">
        <v>441</v>
      </c>
    </row>
    <row r="347" spans="1:1" x14ac:dyDescent="0.3">
      <c r="A347" t="s">
        <v>739</v>
      </c>
    </row>
    <row r="349" spans="1:1" x14ac:dyDescent="0.3">
      <c r="A349" t="s">
        <v>718</v>
      </c>
    </row>
    <row r="350" spans="1:1" x14ac:dyDescent="0.3">
      <c r="A350" t="s">
        <v>740</v>
      </c>
    </row>
    <row r="351" spans="1:1" x14ac:dyDescent="0.3">
      <c r="A351" t="s">
        <v>741</v>
      </c>
    </row>
    <row r="352" spans="1:1" x14ac:dyDescent="0.3">
      <c r="A352" t="s">
        <v>742</v>
      </c>
    </row>
    <row r="353" spans="1:1" x14ac:dyDescent="0.3">
      <c r="A353" t="s">
        <v>743</v>
      </c>
    </row>
    <row r="354" spans="1:1" x14ac:dyDescent="0.3">
      <c r="A354" t="s">
        <v>744</v>
      </c>
    </row>
    <row r="355" spans="1:1" x14ac:dyDescent="0.3">
      <c r="A355" t="s">
        <v>745</v>
      </c>
    </row>
    <row r="356" spans="1:1" x14ac:dyDescent="0.3">
      <c r="A356" t="s">
        <v>746</v>
      </c>
    </row>
    <row r="357" spans="1:1" x14ac:dyDescent="0.3">
      <c r="A357" t="s">
        <v>747</v>
      </c>
    </row>
    <row r="358" spans="1:1" x14ac:dyDescent="0.3">
      <c r="A358" t="s">
        <v>748</v>
      </c>
    </row>
    <row r="359" spans="1:1" x14ac:dyDescent="0.3">
      <c r="A359" t="s">
        <v>749</v>
      </c>
    </row>
    <row r="360" spans="1:1" x14ac:dyDescent="0.3">
      <c r="A360" t="s">
        <v>750</v>
      </c>
    </row>
    <row r="362" spans="1:1" x14ac:dyDescent="0.3">
      <c r="A362" t="s">
        <v>751</v>
      </c>
    </row>
    <row r="364" spans="1:1" x14ac:dyDescent="0.3">
      <c r="A364" t="s">
        <v>752</v>
      </c>
    </row>
    <row r="365" spans="1:1" x14ac:dyDescent="0.3">
      <c r="A365" t="s">
        <v>141</v>
      </c>
    </row>
    <row r="366" spans="1:1" x14ac:dyDescent="0.3">
      <c r="A366" t="s">
        <v>749</v>
      </c>
    </row>
    <row r="367" spans="1:1" x14ac:dyDescent="0.3">
      <c r="A367" t="s">
        <v>753</v>
      </c>
    </row>
    <row r="368" spans="1:1" x14ac:dyDescent="0.3">
      <c r="A368" t="s">
        <v>435</v>
      </c>
    </row>
    <row r="369" spans="1:1" x14ac:dyDescent="0.3">
      <c r="A369" t="s">
        <v>754</v>
      </c>
    </row>
    <row r="370" spans="1:1" x14ac:dyDescent="0.3">
      <c r="A370" t="s">
        <v>142</v>
      </c>
    </row>
    <row r="371" spans="1:1" x14ac:dyDescent="0.3">
      <c r="A371" t="s">
        <v>755</v>
      </c>
    </row>
    <row r="373" spans="1:1" x14ac:dyDescent="0.3">
      <c r="A373" t="s">
        <v>756</v>
      </c>
    </row>
    <row r="375" spans="1:1" x14ac:dyDescent="0.3">
      <c r="A375" t="s">
        <v>757</v>
      </c>
    </row>
    <row r="376" spans="1:1" x14ac:dyDescent="0.3">
      <c r="A376" t="s">
        <v>758</v>
      </c>
    </row>
    <row r="377" spans="1:1" x14ac:dyDescent="0.3">
      <c r="A377" t="s">
        <v>759</v>
      </c>
    </row>
    <row r="378" spans="1:1" x14ac:dyDescent="0.3">
      <c r="A378" t="s">
        <v>760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07"/>
  <sheetViews>
    <sheetView zoomScale="68" workbookViewId="0">
      <selection activeCell="A14" sqref="A14"/>
    </sheetView>
  </sheetViews>
  <sheetFormatPr defaultColWidth="40.77734375" defaultRowHeight="14.4" x14ac:dyDescent="0.3"/>
  <cols>
    <col min="1" max="4" width="40.77734375" customWidth="1"/>
  </cols>
  <sheetData>
    <row r="1" spans="1:4" x14ac:dyDescent="0.3">
      <c r="A1" s="2" t="s">
        <v>777</v>
      </c>
      <c r="B1" s="2"/>
      <c r="C1" s="2"/>
      <c r="D1" s="2"/>
    </row>
    <row r="2" spans="1:4" x14ac:dyDescent="0.3">
      <c r="A2" s="2"/>
      <c r="B2" s="2"/>
      <c r="C2" s="2"/>
      <c r="D2" s="2"/>
    </row>
    <row r="3" spans="1:4" x14ac:dyDescent="0.3">
      <c r="A3" s="2" t="s">
        <v>778</v>
      </c>
      <c r="B3" s="2"/>
      <c r="C3" s="2"/>
      <c r="D3" s="2"/>
    </row>
    <row r="4" spans="1:4" x14ac:dyDescent="0.3">
      <c r="A4" s="2"/>
      <c r="B4" s="2"/>
      <c r="C4" s="2"/>
      <c r="D4" s="2"/>
    </row>
    <row r="5" spans="1:4" x14ac:dyDescent="0.3">
      <c r="A5" s="2" t="s">
        <v>144</v>
      </c>
      <c r="B5" s="2"/>
      <c r="C5" s="2"/>
      <c r="D5" s="2"/>
    </row>
    <row r="6" spans="1:4" x14ac:dyDescent="0.3">
      <c r="A6" s="2"/>
      <c r="B6" s="2"/>
      <c r="C6" s="2"/>
      <c r="D6" s="2"/>
    </row>
    <row r="7" spans="1:4" x14ac:dyDescent="0.3">
      <c r="A7" s="2" t="s">
        <v>116</v>
      </c>
      <c r="B7" s="2"/>
      <c r="C7" s="2"/>
      <c r="D7" s="2"/>
    </row>
    <row r="8" spans="1:4" x14ac:dyDescent="0.3">
      <c r="A8" s="2" t="s">
        <v>145</v>
      </c>
      <c r="B8" s="2"/>
      <c r="C8" s="2"/>
      <c r="D8" s="2"/>
    </row>
    <row r="9" spans="1:4" x14ac:dyDescent="0.3">
      <c r="A9" s="2" t="s">
        <v>146</v>
      </c>
      <c r="B9" s="2"/>
      <c r="C9" s="2"/>
      <c r="D9" s="2"/>
    </row>
    <row r="10" spans="1:4" x14ac:dyDescent="0.3">
      <c r="A10" s="2" t="s">
        <v>147</v>
      </c>
      <c r="B10" s="2"/>
      <c r="C10" s="2"/>
      <c r="D10" s="2"/>
    </row>
    <row r="11" spans="1:4" x14ac:dyDescent="0.3">
      <c r="A11" s="2" t="s">
        <v>148</v>
      </c>
      <c r="B11" s="2"/>
      <c r="C11" s="2"/>
      <c r="D11" s="2"/>
    </row>
    <row r="12" spans="1:4" x14ac:dyDescent="0.3">
      <c r="A12" s="2" t="s">
        <v>149</v>
      </c>
      <c r="B12" s="2"/>
      <c r="C12" s="2"/>
      <c r="D12" s="2"/>
    </row>
    <row r="13" spans="1:4" x14ac:dyDescent="0.3">
      <c r="A13" s="2"/>
      <c r="B13" s="2"/>
      <c r="C13" s="2"/>
      <c r="D13" s="2"/>
    </row>
    <row r="14" spans="1:4" x14ac:dyDescent="0.3">
      <c r="A14" s="2" t="s">
        <v>779</v>
      </c>
      <c r="B14" s="2"/>
      <c r="C14" s="2"/>
      <c r="D14" s="2"/>
    </row>
    <row r="15" spans="1:4" x14ac:dyDescent="0.3">
      <c r="A15" s="2"/>
      <c r="B15" s="2"/>
      <c r="C15" s="2"/>
      <c r="D15" s="2"/>
    </row>
    <row r="16" spans="1:4" x14ac:dyDescent="0.3">
      <c r="A16" s="2" t="s">
        <v>780</v>
      </c>
      <c r="B16" s="2"/>
      <c r="C16" s="2"/>
      <c r="D16" s="2"/>
    </row>
    <row r="17" spans="1:4" x14ac:dyDescent="0.3">
      <c r="A17" s="2"/>
      <c r="B17" s="2"/>
      <c r="C17" s="2"/>
      <c r="D17" s="2"/>
    </row>
    <row r="18" spans="1:4" x14ac:dyDescent="0.3">
      <c r="A18" s="2" t="s">
        <v>781</v>
      </c>
      <c r="B18" s="2"/>
      <c r="C18" s="2"/>
      <c r="D18" s="2"/>
    </row>
    <row r="19" spans="1:4" x14ac:dyDescent="0.3">
      <c r="A19" s="2"/>
      <c r="B19" s="2"/>
      <c r="C19" s="2"/>
      <c r="D19" s="2"/>
    </row>
    <row r="20" spans="1:4" x14ac:dyDescent="0.3">
      <c r="A20" s="2" t="s">
        <v>774</v>
      </c>
      <c r="B20" s="2"/>
      <c r="C20" s="2"/>
      <c r="D20" s="2"/>
    </row>
    <row r="21" spans="1:4" x14ac:dyDescent="0.3">
      <c r="A21" s="2"/>
      <c r="B21" s="2"/>
      <c r="C21" s="2"/>
      <c r="D21" s="2"/>
    </row>
    <row r="22" spans="1:4" x14ac:dyDescent="0.3">
      <c r="A22" s="2" t="s">
        <v>150</v>
      </c>
      <c r="B22" s="2"/>
      <c r="C22" s="2"/>
      <c r="D22" s="2"/>
    </row>
    <row r="23" spans="1:4" x14ac:dyDescent="0.3">
      <c r="A23" s="2"/>
      <c r="B23" s="2"/>
      <c r="C23" s="2"/>
      <c r="D23" s="2"/>
    </row>
    <row r="24" spans="1:4" x14ac:dyDescent="0.3">
      <c r="A24" s="2" t="s">
        <v>782</v>
      </c>
      <c r="B24" s="2"/>
      <c r="C24" s="2"/>
      <c r="D24" s="2"/>
    </row>
    <row r="25" spans="1:4" x14ac:dyDescent="0.3">
      <c r="A25" s="2"/>
      <c r="B25" s="2"/>
      <c r="C25" s="2"/>
      <c r="D25" s="2"/>
    </row>
    <row r="26" spans="1:4" x14ac:dyDescent="0.3">
      <c r="A26" s="2" t="s">
        <v>783</v>
      </c>
      <c r="B26" s="2"/>
      <c r="C26" s="2"/>
      <c r="D26" s="2"/>
    </row>
    <row r="27" spans="1:4" x14ac:dyDescent="0.3">
      <c r="A27" s="2" t="s">
        <v>784</v>
      </c>
      <c r="B27" s="2"/>
      <c r="C27" s="2"/>
      <c r="D27" s="2"/>
    </row>
    <row r="28" spans="1:4" x14ac:dyDescent="0.3">
      <c r="A28" s="2" t="s">
        <v>785</v>
      </c>
      <c r="B28" s="2"/>
      <c r="C28" s="2"/>
      <c r="D28" s="2"/>
    </row>
    <row r="29" spans="1:4" x14ac:dyDescent="0.3">
      <c r="A29" s="2"/>
      <c r="B29" s="2"/>
      <c r="C29" s="2"/>
      <c r="D29" s="2"/>
    </row>
    <row r="30" spans="1:4" x14ac:dyDescent="0.3">
      <c r="A30" s="2" t="s">
        <v>786</v>
      </c>
      <c r="B30" s="2"/>
      <c r="C30" s="2"/>
      <c r="D30" s="2"/>
    </row>
    <row r="31" spans="1:4" x14ac:dyDescent="0.3">
      <c r="A31" s="2"/>
      <c r="B31" s="2"/>
      <c r="C31" s="2"/>
      <c r="D31" s="2"/>
    </row>
    <row r="32" spans="1:4" x14ac:dyDescent="0.3">
      <c r="A32" s="2" t="s">
        <v>787</v>
      </c>
      <c r="B32" s="2"/>
      <c r="C32" s="2"/>
      <c r="D32" s="2"/>
    </row>
    <row r="33" spans="1:4" x14ac:dyDescent="0.3">
      <c r="A33" s="2"/>
      <c r="B33" s="2"/>
      <c r="C33" s="2"/>
      <c r="D33" s="2"/>
    </row>
    <row r="34" spans="1:4" x14ac:dyDescent="0.3">
      <c r="A34" s="2" t="s">
        <v>151</v>
      </c>
      <c r="B34" s="2"/>
      <c r="C34" s="2"/>
      <c r="D34" s="2"/>
    </row>
    <row r="35" spans="1:4" x14ac:dyDescent="0.3">
      <c r="A35" s="2"/>
      <c r="B35" s="2"/>
      <c r="C35" s="2"/>
      <c r="D35" s="2"/>
    </row>
    <row r="36" spans="1:4" x14ac:dyDescent="0.3">
      <c r="A36" s="2" t="s">
        <v>152</v>
      </c>
      <c r="B36" s="2"/>
      <c r="C36" s="2"/>
      <c r="D36" s="2"/>
    </row>
    <row r="37" spans="1:4" x14ac:dyDescent="0.3">
      <c r="A37" s="2"/>
      <c r="B37" s="2"/>
      <c r="C37" s="2"/>
      <c r="D37" s="2"/>
    </row>
    <row r="38" spans="1:4" x14ac:dyDescent="0.3">
      <c r="A38" s="2" t="s">
        <v>153</v>
      </c>
      <c r="B38" s="2" t="s">
        <v>111</v>
      </c>
      <c r="C38" s="2" t="s">
        <v>49</v>
      </c>
      <c r="D38" s="2" t="s">
        <v>155</v>
      </c>
    </row>
    <row r="39" spans="1:4" x14ac:dyDescent="0.3">
      <c r="A39" s="2" t="s">
        <v>156</v>
      </c>
      <c r="B39" s="2" t="s">
        <v>775</v>
      </c>
      <c r="C39" s="2" t="s">
        <v>788</v>
      </c>
      <c r="D39" s="2" t="s">
        <v>789</v>
      </c>
    </row>
    <row r="40" spans="1:4" x14ac:dyDescent="0.3">
      <c r="A40" s="2" t="s">
        <v>157</v>
      </c>
      <c r="B40" s="2" t="s">
        <v>775</v>
      </c>
      <c r="C40" s="2" t="s">
        <v>790</v>
      </c>
      <c r="D40" s="2" t="s">
        <v>791</v>
      </c>
    </row>
    <row r="41" spans="1:4" x14ac:dyDescent="0.3">
      <c r="A41" s="2" t="s">
        <v>158</v>
      </c>
      <c r="B41" s="2" t="s">
        <v>775</v>
      </c>
      <c r="C41" s="2" t="s">
        <v>792</v>
      </c>
      <c r="D41" s="2" t="s">
        <v>793</v>
      </c>
    </row>
    <row r="42" spans="1:4" x14ac:dyDescent="0.3">
      <c r="A42" s="2" t="s">
        <v>159</v>
      </c>
      <c r="B42" s="2" t="s">
        <v>775</v>
      </c>
      <c r="C42" s="2" t="s">
        <v>794</v>
      </c>
      <c r="D42" s="2" t="s">
        <v>795</v>
      </c>
    </row>
    <row r="43" spans="1:4" x14ac:dyDescent="0.3">
      <c r="A43" s="2" t="s">
        <v>160</v>
      </c>
      <c r="B43" s="2" t="s">
        <v>775</v>
      </c>
      <c r="C43" s="2" t="s">
        <v>796</v>
      </c>
      <c r="D43" s="2" t="s">
        <v>797</v>
      </c>
    </row>
    <row r="44" spans="1:4" x14ac:dyDescent="0.3">
      <c r="A44" s="2" t="s">
        <v>161</v>
      </c>
      <c r="B44" s="2" t="s">
        <v>775</v>
      </c>
      <c r="C44" s="2" t="s">
        <v>796</v>
      </c>
      <c r="D44" s="2" t="s">
        <v>798</v>
      </c>
    </row>
    <row r="45" spans="1:4" x14ac:dyDescent="0.3">
      <c r="A45" s="2" t="s">
        <v>162</v>
      </c>
      <c r="B45" s="2" t="s">
        <v>775</v>
      </c>
      <c r="C45" s="2" t="s">
        <v>799</v>
      </c>
      <c r="D45" s="2" t="s">
        <v>800</v>
      </c>
    </row>
    <row r="46" spans="1:4" x14ac:dyDescent="0.3">
      <c r="A46" s="2" t="s">
        <v>163</v>
      </c>
      <c r="B46" s="2" t="s">
        <v>775</v>
      </c>
      <c r="C46" s="2" t="s">
        <v>801</v>
      </c>
      <c r="D46" s="2" t="s">
        <v>802</v>
      </c>
    </row>
    <row r="47" spans="1:4" x14ac:dyDescent="0.3">
      <c r="A47" s="2" t="s">
        <v>164</v>
      </c>
      <c r="B47" s="2" t="s">
        <v>775</v>
      </c>
      <c r="C47" s="2" t="s">
        <v>803</v>
      </c>
      <c r="D47" s="2" t="s">
        <v>804</v>
      </c>
    </row>
    <row r="48" spans="1:4" x14ac:dyDescent="0.3">
      <c r="A48" s="2" t="s">
        <v>165</v>
      </c>
      <c r="B48" s="2" t="s">
        <v>775</v>
      </c>
      <c r="C48" s="2" t="s">
        <v>805</v>
      </c>
      <c r="D48" s="2" t="s">
        <v>806</v>
      </c>
    </row>
    <row r="49" spans="1:4" x14ac:dyDescent="0.3">
      <c r="A49" s="2" t="s">
        <v>807</v>
      </c>
      <c r="B49" s="2" t="s">
        <v>775</v>
      </c>
      <c r="C49" s="2" t="s">
        <v>808</v>
      </c>
      <c r="D49" s="2" t="s">
        <v>809</v>
      </c>
    </row>
    <row r="50" spans="1:4" x14ac:dyDescent="0.3">
      <c r="A50" s="2" t="s">
        <v>810</v>
      </c>
      <c r="B50" s="2" t="s">
        <v>775</v>
      </c>
      <c r="C50" s="2" t="s">
        <v>811</v>
      </c>
      <c r="D50" s="2" t="s">
        <v>812</v>
      </c>
    </row>
    <row r="51" spans="1:4" x14ac:dyDescent="0.3">
      <c r="A51" s="2" t="s">
        <v>813</v>
      </c>
      <c r="B51" s="2" t="s">
        <v>775</v>
      </c>
      <c r="C51" s="2" t="s">
        <v>811</v>
      </c>
      <c r="D51" s="2" t="s">
        <v>814</v>
      </c>
    </row>
    <row r="52" spans="1:4" x14ac:dyDescent="0.3">
      <c r="A52" s="2" t="s">
        <v>815</v>
      </c>
      <c r="B52" s="2" t="s">
        <v>775</v>
      </c>
      <c r="C52" s="2" t="s">
        <v>816</v>
      </c>
      <c r="D52" s="2" t="s">
        <v>817</v>
      </c>
    </row>
    <row r="53" spans="1:4" x14ac:dyDescent="0.3">
      <c r="A53" s="2" t="s">
        <v>818</v>
      </c>
      <c r="B53" s="2" t="s">
        <v>775</v>
      </c>
      <c r="C53" s="2" t="s">
        <v>819</v>
      </c>
      <c r="D53" s="2" t="s">
        <v>820</v>
      </c>
    </row>
    <row r="54" spans="1:4" x14ac:dyDescent="0.3">
      <c r="A54" s="2" t="s">
        <v>821</v>
      </c>
      <c r="B54" s="2" t="s">
        <v>775</v>
      </c>
      <c r="C54" s="2" t="s">
        <v>822</v>
      </c>
      <c r="D54" s="2" t="s">
        <v>823</v>
      </c>
    </row>
    <row r="55" spans="1:4" x14ac:dyDescent="0.3">
      <c r="A55" s="2" t="s">
        <v>824</v>
      </c>
      <c r="B55" s="2" t="s">
        <v>775</v>
      </c>
      <c r="C55" s="2" t="s">
        <v>825</v>
      </c>
      <c r="D55" s="2" t="s">
        <v>826</v>
      </c>
    </row>
    <row r="56" spans="1:4" x14ac:dyDescent="0.3">
      <c r="A56" s="2" t="s">
        <v>827</v>
      </c>
      <c r="B56" s="2" t="s">
        <v>775</v>
      </c>
      <c r="C56" s="2" t="s">
        <v>828</v>
      </c>
      <c r="D56" s="2" t="s">
        <v>829</v>
      </c>
    </row>
    <row r="57" spans="1:4" x14ac:dyDescent="0.3">
      <c r="A57" s="2" t="s">
        <v>830</v>
      </c>
      <c r="B57" s="2" t="s">
        <v>775</v>
      </c>
      <c r="C57" s="2" t="s">
        <v>831</v>
      </c>
      <c r="D57" s="2" t="s">
        <v>832</v>
      </c>
    </row>
    <row r="58" spans="1:4" x14ac:dyDescent="0.3">
      <c r="A58" s="2" t="s">
        <v>833</v>
      </c>
      <c r="B58" s="2" t="s">
        <v>775</v>
      </c>
      <c r="C58" s="2" t="s">
        <v>831</v>
      </c>
      <c r="D58" s="2" t="s">
        <v>834</v>
      </c>
    </row>
    <row r="59" spans="1:4" x14ac:dyDescent="0.3">
      <c r="A59" s="2" t="s">
        <v>835</v>
      </c>
      <c r="B59" s="2" t="s">
        <v>775</v>
      </c>
      <c r="C59" s="2" t="s">
        <v>836</v>
      </c>
      <c r="D59" s="2" t="s">
        <v>837</v>
      </c>
    </row>
    <row r="60" spans="1:4" x14ac:dyDescent="0.3">
      <c r="A60" s="2" t="s">
        <v>838</v>
      </c>
      <c r="B60" s="2" t="s">
        <v>775</v>
      </c>
      <c r="C60" s="2" t="s">
        <v>839</v>
      </c>
      <c r="D60" s="2" t="s">
        <v>840</v>
      </c>
    </row>
    <row r="61" spans="1:4" x14ac:dyDescent="0.3">
      <c r="A61" s="2"/>
      <c r="B61" s="2"/>
      <c r="C61" s="2"/>
      <c r="D61" s="2"/>
    </row>
    <row r="62" spans="1:4" x14ac:dyDescent="0.3">
      <c r="A62" s="2" t="s">
        <v>841</v>
      </c>
      <c r="B62" s="2"/>
      <c r="C62" s="2"/>
      <c r="D62" s="2"/>
    </row>
    <row r="63" spans="1:4" x14ac:dyDescent="0.3">
      <c r="A63" s="2"/>
      <c r="B63" s="2"/>
      <c r="C63" s="2"/>
      <c r="D63" s="2"/>
    </row>
    <row r="64" spans="1:4" x14ac:dyDescent="0.3">
      <c r="A64" s="2" t="s">
        <v>842</v>
      </c>
      <c r="B64" s="2"/>
      <c r="C64" s="2"/>
      <c r="D64" s="2"/>
    </row>
    <row r="65" spans="1:4" x14ac:dyDescent="0.3">
      <c r="A65" s="2"/>
      <c r="B65" s="2"/>
      <c r="C65" s="2"/>
      <c r="D65" s="2"/>
    </row>
    <row r="66" spans="1:4" x14ac:dyDescent="0.3">
      <c r="A66" s="2" t="s">
        <v>166</v>
      </c>
      <c r="B66" s="2"/>
      <c r="C66" s="2"/>
      <c r="D66" s="2"/>
    </row>
    <row r="67" spans="1:4" x14ac:dyDescent="0.3">
      <c r="A67" s="2"/>
      <c r="B67" s="2"/>
      <c r="C67" s="2"/>
      <c r="D67" s="2"/>
    </row>
    <row r="68" spans="1:4" x14ac:dyDescent="0.3">
      <c r="A68" s="2" t="s">
        <v>3</v>
      </c>
      <c r="B68" s="2"/>
      <c r="C68" s="2"/>
      <c r="D68" s="2"/>
    </row>
    <row r="69" spans="1:4" x14ac:dyDescent="0.3">
      <c r="A69" s="2" t="s">
        <v>1</v>
      </c>
      <c r="B69" s="2"/>
      <c r="C69" s="2"/>
      <c r="D69" s="2"/>
    </row>
    <row r="70" spans="1:4" x14ac:dyDescent="0.3">
      <c r="A70" s="2" t="s">
        <v>9</v>
      </c>
      <c r="B70" s="2"/>
      <c r="C70" s="2"/>
      <c r="D70" s="2"/>
    </row>
    <row r="71" spans="1:4" x14ac:dyDescent="0.3">
      <c r="A71" s="2" t="s">
        <v>167</v>
      </c>
      <c r="B71" s="2"/>
      <c r="C71" s="2"/>
      <c r="D71" s="2"/>
    </row>
    <row r="72" spans="1:4" x14ac:dyDescent="0.3">
      <c r="A72" s="2" t="s">
        <v>13</v>
      </c>
      <c r="B72" s="2"/>
      <c r="C72" s="2"/>
      <c r="D72" s="2"/>
    </row>
    <row r="73" spans="1:4" x14ac:dyDescent="0.3">
      <c r="A73" s="2" t="s">
        <v>17</v>
      </c>
      <c r="B73" s="2"/>
      <c r="C73" s="2"/>
      <c r="D73" s="2"/>
    </row>
    <row r="74" spans="1:4" x14ac:dyDescent="0.3">
      <c r="A74" s="2" t="s">
        <v>168</v>
      </c>
      <c r="B74" s="2"/>
      <c r="C74" s="2"/>
      <c r="D74" s="2"/>
    </row>
    <row r="75" spans="1:4" x14ac:dyDescent="0.3">
      <c r="A75" s="2" t="s">
        <v>29</v>
      </c>
      <c r="B75" s="2"/>
      <c r="C75" s="2"/>
      <c r="D75" s="2"/>
    </row>
    <row r="76" spans="1:4" x14ac:dyDescent="0.3">
      <c r="A76" s="2" t="s">
        <v>33</v>
      </c>
      <c r="B76" s="2"/>
      <c r="C76" s="2"/>
      <c r="D76" s="2"/>
    </row>
    <row r="77" spans="1:4" x14ac:dyDescent="0.3">
      <c r="A77" s="2" t="s">
        <v>35</v>
      </c>
      <c r="B77" s="2"/>
      <c r="C77" s="2"/>
      <c r="D77" s="2"/>
    </row>
    <row r="78" spans="1:4" x14ac:dyDescent="0.3">
      <c r="A78" s="2" t="s">
        <v>41</v>
      </c>
      <c r="B78" s="2"/>
      <c r="C78" s="2"/>
      <c r="D78" s="2"/>
    </row>
    <row r="79" spans="1:4" x14ac:dyDescent="0.3">
      <c r="A79" s="2" t="s">
        <v>49</v>
      </c>
      <c r="B79" s="2"/>
      <c r="C79" s="2"/>
      <c r="D79" s="2"/>
    </row>
    <row r="80" spans="1:4" x14ac:dyDescent="0.3">
      <c r="A80" s="2" t="s">
        <v>63</v>
      </c>
      <c r="B80" s="2"/>
      <c r="C80" s="2"/>
      <c r="D80" s="2"/>
    </row>
    <row r="81" spans="1:4" x14ac:dyDescent="0.3">
      <c r="A81" s="2" t="s">
        <v>169</v>
      </c>
      <c r="B81" s="2"/>
      <c r="C81" s="2"/>
      <c r="D81" s="2"/>
    </row>
    <row r="82" spans="1:4" x14ac:dyDescent="0.3">
      <c r="A82" s="2" t="s">
        <v>71</v>
      </c>
      <c r="B82" s="2"/>
      <c r="C82" s="2"/>
      <c r="D82" s="2"/>
    </row>
    <row r="83" spans="1:4" x14ac:dyDescent="0.3">
      <c r="A83" s="2" t="s">
        <v>73</v>
      </c>
      <c r="B83" s="2"/>
      <c r="C83" s="2"/>
      <c r="D83" s="2"/>
    </row>
    <row r="84" spans="1:4" x14ac:dyDescent="0.3">
      <c r="A84" s="2" t="s">
        <v>77</v>
      </c>
      <c r="B84" s="2"/>
      <c r="C84" s="2"/>
      <c r="D84" s="2"/>
    </row>
    <row r="85" spans="1:4" x14ac:dyDescent="0.3">
      <c r="A85" s="2" t="s">
        <v>87</v>
      </c>
      <c r="B85" s="2"/>
      <c r="C85" s="2"/>
      <c r="D85" s="2"/>
    </row>
    <row r="86" spans="1:4" x14ac:dyDescent="0.3">
      <c r="A86" s="2" t="s">
        <v>170</v>
      </c>
      <c r="B86" s="2"/>
      <c r="C86" s="2"/>
      <c r="D86" s="2"/>
    </row>
    <row r="87" spans="1:4" x14ac:dyDescent="0.3">
      <c r="A87" s="2" t="s">
        <v>93</v>
      </c>
      <c r="B87" s="2"/>
      <c r="C87" s="2"/>
      <c r="D87" s="2"/>
    </row>
    <row r="88" spans="1:4" x14ac:dyDescent="0.3">
      <c r="A88" s="2" t="s">
        <v>95</v>
      </c>
      <c r="B88" s="2"/>
      <c r="C88" s="2"/>
      <c r="D88" s="2"/>
    </row>
    <row r="89" spans="1:4" x14ac:dyDescent="0.3">
      <c r="A89" s="2" t="s">
        <v>97</v>
      </c>
      <c r="B89" s="2"/>
      <c r="C89" s="2"/>
      <c r="D89" s="2"/>
    </row>
    <row r="90" spans="1:4" x14ac:dyDescent="0.3">
      <c r="A90" s="2" t="s">
        <v>103</v>
      </c>
      <c r="B90" s="2"/>
      <c r="C90" s="2"/>
      <c r="D90" s="2"/>
    </row>
    <row r="91" spans="1:4" x14ac:dyDescent="0.3">
      <c r="A91" s="2" t="s">
        <v>107</v>
      </c>
      <c r="B91" s="2"/>
      <c r="C91" s="2"/>
      <c r="D91" s="2"/>
    </row>
    <row r="92" spans="1:4" x14ac:dyDescent="0.3">
      <c r="A92" s="2" t="s">
        <v>111</v>
      </c>
      <c r="B92" s="2"/>
      <c r="C92" s="2"/>
      <c r="D92" s="2"/>
    </row>
    <row r="93" spans="1:4" x14ac:dyDescent="0.3">
      <c r="A93" s="2" t="s">
        <v>171</v>
      </c>
      <c r="B93" s="2"/>
      <c r="C93" s="2"/>
      <c r="D93" s="2"/>
    </row>
    <row r="94" spans="1:4" x14ac:dyDescent="0.3">
      <c r="A94" s="2"/>
      <c r="B94" s="2"/>
      <c r="C94" s="2"/>
      <c r="D94" s="2"/>
    </row>
    <row r="95" spans="1:4" x14ac:dyDescent="0.3">
      <c r="A95" s="2" t="s">
        <v>172</v>
      </c>
      <c r="B95" s="2"/>
      <c r="C95" s="2"/>
      <c r="D95" s="2"/>
    </row>
    <row r="96" spans="1:4" x14ac:dyDescent="0.3">
      <c r="A96" s="2"/>
      <c r="B96" s="2"/>
      <c r="C96" s="2"/>
      <c r="D96" s="2"/>
    </row>
    <row r="97" spans="1:4" x14ac:dyDescent="0.3">
      <c r="A97" s="2" t="s">
        <v>843</v>
      </c>
      <c r="B97" s="2"/>
      <c r="C97" s="2"/>
      <c r="D97" s="2"/>
    </row>
    <row r="98" spans="1:4" x14ac:dyDescent="0.3">
      <c r="A98" s="2" t="s">
        <v>844</v>
      </c>
      <c r="B98" s="2"/>
      <c r="C98" s="2"/>
      <c r="D98" s="2"/>
    </row>
    <row r="99" spans="1:4" x14ac:dyDescent="0.3">
      <c r="A99" s="2" t="s">
        <v>845</v>
      </c>
      <c r="B99" s="2"/>
      <c r="C99" s="2"/>
      <c r="D99" s="2"/>
    </row>
    <row r="100" spans="1:4" x14ac:dyDescent="0.3">
      <c r="A100" s="2" t="s">
        <v>846</v>
      </c>
      <c r="B100" s="2"/>
      <c r="C100" s="2"/>
      <c r="D100" s="2"/>
    </row>
    <row r="101" spans="1:4" x14ac:dyDescent="0.3">
      <c r="A101" s="2" t="s">
        <v>847</v>
      </c>
      <c r="B101" s="2"/>
      <c r="C101" s="2"/>
      <c r="D101" s="2"/>
    </row>
    <row r="102" spans="1:4" x14ac:dyDescent="0.3">
      <c r="A102" s="2" t="s">
        <v>848</v>
      </c>
      <c r="B102" s="2"/>
      <c r="C102" s="2"/>
      <c r="D102" s="2"/>
    </row>
    <row r="103" spans="1:4" x14ac:dyDescent="0.3">
      <c r="A103" s="2" t="s">
        <v>849</v>
      </c>
      <c r="B103" s="2"/>
      <c r="C103" s="2"/>
      <c r="D103" s="2"/>
    </row>
    <row r="104" spans="1:4" x14ac:dyDescent="0.3">
      <c r="A104" s="2" t="s">
        <v>850</v>
      </c>
      <c r="B104" s="2"/>
      <c r="C104" s="2"/>
      <c r="D104" s="2"/>
    </row>
    <row r="105" spans="1:4" x14ac:dyDescent="0.3">
      <c r="A105" s="2" t="s">
        <v>851</v>
      </c>
      <c r="B105" s="2"/>
      <c r="C105" s="2"/>
      <c r="D105" s="2"/>
    </row>
    <row r="106" spans="1:4" x14ac:dyDescent="0.3">
      <c r="A106" s="2" t="s">
        <v>852</v>
      </c>
      <c r="B106" s="2"/>
      <c r="C106" s="2"/>
      <c r="D106" s="2"/>
    </row>
    <row r="107" spans="1:4" x14ac:dyDescent="0.3">
      <c r="A107" s="2" t="s">
        <v>173</v>
      </c>
      <c r="B107" s="2"/>
      <c r="C107" s="2"/>
      <c r="D107"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showGridLines="0" zoomScale="102" workbookViewId="0">
      <selection activeCell="I32" sqref="I32"/>
    </sheetView>
  </sheetViews>
  <sheetFormatPr defaultRowHeight="14.4" x14ac:dyDescent="0.3"/>
  <cols>
    <col min="1" max="2" width="10.5546875" style="3" bestFit="1" customWidth="1"/>
    <col min="4" max="4" width="11.21875" bestFit="1" customWidth="1"/>
  </cols>
  <sheetData>
    <row r="1" spans="1:5" x14ac:dyDescent="0.3">
      <c r="D1" t="s">
        <v>153</v>
      </c>
      <c r="E1" t="s">
        <v>853</v>
      </c>
    </row>
    <row r="2" spans="1:5" x14ac:dyDescent="0.3">
      <c r="A2" s="3">
        <v>7</v>
      </c>
      <c r="B2" s="3">
        <v>2</v>
      </c>
      <c r="C2">
        <v>2024</v>
      </c>
      <c r="D2" s="1">
        <f>DATE(C2,B2,A2)</f>
        <v>45329</v>
      </c>
      <c r="E2">
        <v>147.93204</v>
      </c>
    </row>
    <row r="3" spans="1:5" x14ac:dyDescent="0.3">
      <c r="A3" s="3">
        <v>6</v>
      </c>
      <c r="B3" s="3">
        <v>2</v>
      </c>
      <c r="C3">
        <v>2024</v>
      </c>
      <c r="D3" s="1">
        <f t="shared" ref="D3:D16" si="0">DATE(C3,B3,A3)</f>
        <v>45328</v>
      </c>
      <c r="E3">
        <v>147.87597</v>
      </c>
    </row>
    <row r="4" spans="1:5" x14ac:dyDescent="0.3">
      <c r="A4" s="3">
        <v>5</v>
      </c>
      <c r="B4" s="3">
        <v>2</v>
      </c>
      <c r="C4">
        <v>2024</v>
      </c>
      <c r="D4" s="1">
        <f t="shared" si="0"/>
        <v>45327</v>
      </c>
      <c r="E4">
        <v>148.64501999999999</v>
      </c>
    </row>
    <row r="5" spans="1:5" x14ac:dyDescent="0.3">
      <c r="A5" s="3">
        <v>4</v>
      </c>
      <c r="B5" s="3">
        <v>2</v>
      </c>
      <c r="C5">
        <v>2024</v>
      </c>
      <c r="D5" s="1">
        <f t="shared" si="0"/>
        <v>45326</v>
      </c>
      <c r="E5">
        <v>148.499</v>
      </c>
    </row>
    <row r="6" spans="1:5" x14ac:dyDescent="0.3">
      <c r="A6" s="3">
        <v>3</v>
      </c>
      <c r="B6" s="3">
        <v>2</v>
      </c>
      <c r="C6">
        <v>2024</v>
      </c>
      <c r="D6" s="1">
        <f t="shared" si="0"/>
        <v>45325</v>
      </c>
      <c r="E6">
        <v>148.37504000000001</v>
      </c>
    </row>
    <row r="7" spans="1:5" x14ac:dyDescent="0.3">
      <c r="A7" s="3">
        <v>2</v>
      </c>
      <c r="B7" s="3">
        <v>2</v>
      </c>
      <c r="C7">
        <v>2024</v>
      </c>
      <c r="D7" s="1">
        <f t="shared" si="0"/>
        <v>45324</v>
      </c>
      <c r="E7">
        <v>148.37504000000001</v>
      </c>
    </row>
    <row r="8" spans="1:5" x14ac:dyDescent="0.3">
      <c r="A8" s="3">
        <v>1</v>
      </c>
      <c r="B8" s="3">
        <v>2</v>
      </c>
      <c r="C8">
        <v>2024</v>
      </c>
      <c r="D8" s="1">
        <f t="shared" si="0"/>
        <v>45323</v>
      </c>
      <c r="E8">
        <v>146.45398</v>
      </c>
    </row>
    <row r="9" spans="1:5" x14ac:dyDescent="0.3">
      <c r="A9" s="3">
        <v>31</v>
      </c>
      <c r="B9" s="3">
        <v>1</v>
      </c>
      <c r="C9">
        <v>2024</v>
      </c>
      <c r="D9" s="1">
        <f t="shared" si="0"/>
        <v>45322</v>
      </c>
      <c r="E9">
        <v>147.00502</v>
      </c>
    </row>
    <row r="10" spans="1:5" x14ac:dyDescent="0.3">
      <c r="A10" s="3">
        <v>30</v>
      </c>
      <c r="B10" s="3">
        <v>1</v>
      </c>
      <c r="C10">
        <v>2024</v>
      </c>
      <c r="D10" s="1">
        <f t="shared" si="0"/>
        <v>45321</v>
      </c>
      <c r="E10">
        <v>147.37549999999999</v>
      </c>
    </row>
    <row r="11" spans="1:5" x14ac:dyDescent="0.3">
      <c r="A11" s="3">
        <v>29</v>
      </c>
      <c r="B11" s="3">
        <v>1</v>
      </c>
      <c r="C11">
        <v>2024</v>
      </c>
      <c r="D11" s="1">
        <f t="shared" si="0"/>
        <v>45320</v>
      </c>
      <c r="E11">
        <v>147.47703000000001</v>
      </c>
    </row>
    <row r="12" spans="1:5" x14ac:dyDescent="0.3">
      <c r="A12" s="3">
        <v>28</v>
      </c>
      <c r="B12" s="3">
        <v>1</v>
      </c>
      <c r="C12">
        <v>2024</v>
      </c>
      <c r="D12" s="1">
        <f t="shared" si="0"/>
        <v>45319</v>
      </c>
      <c r="E12">
        <v>148.1465</v>
      </c>
    </row>
    <row r="13" spans="1:5" x14ac:dyDescent="0.3">
      <c r="A13" s="3">
        <v>27</v>
      </c>
      <c r="B13" s="3">
        <v>1</v>
      </c>
      <c r="C13">
        <v>2024</v>
      </c>
      <c r="D13" s="1">
        <f t="shared" si="0"/>
        <v>45318</v>
      </c>
      <c r="E13">
        <v>148.18503999999999</v>
      </c>
    </row>
    <row r="14" spans="1:5" x14ac:dyDescent="0.3">
      <c r="A14" s="3">
        <v>26</v>
      </c>
      <c r="B14" s="3">
        <v>1</v>
      </c>
      <c r="C14">
        <v>2024</v>
      </c>
      <c r="D14" s="1">
        <f t="shared" si="0"/>
        <v>45317</v>
      </c>
      <c r="E14">
        <v>148.18503999999999</v>
      </c>
    </row>
    <row r="15" spans="1:5" x14ac:dyDescent="0.3">
      <c r="A15" s="3">
        <v>25</v>
      </c>
      <c r="B15" s="3">
        <v>1</v>
      </c>
      <c r="C15">
        <v>2024</v>
      </c>
      <c r="D15" s="1">
        <f t="shared" si="0"/>
        <v>45316</v>
      </c>
      <c r="E15">
        <v>147.72450000000001</v>
      </c>
    </row>
    <row r="16" spans="1:5" x14ac:dyDescent="0.3">
      <c r="A16" s="3">
        <v>24</v>
      </c>
      <c r="B16" s="3">
        <v>1</v>
      </c>
      <c r="C16">
        <v>2024</v>
      </c>
      <c r="D16" s="1">
        <f t="shared" si="0"/>
        <v>45315</v>
      </c>
      <c r="E16">
        <v>147.55350000000001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8"/>
  <sheetViews>
    <sheetView workbookViewId="0"/>
  </sheetViews>
  <sheetFormatPr defaultRowHeight="14.4" x14ac:dyDescent="0.3"/>
  <cols>
    <col min="1" max="1" width="5.109375" customWidth="1"/>
    <col min="2" max="2" width="24.88671875" bestFit="1" customWidth="1"/>
    <col min="3" max="3" width="29.77734375" bestFit="1" customWidth="1"/>
  </cols>
  <sheetData>
    <row r="1" spans="1:3" x14ac:dyDescent="0.3">
      <c r="A1" t="s">
        <v>0</v>
      </c>
      <c r="B1" t="s">
        <v>1</v>
      </c>
      <c r="C1" t="str">
        <f>SUBSTITUTE(B1," ","-")&amp;"-"&amp;A1</f>
        <v>Argentine-Peso-ARS</v>
      </c>
    </row>
    <row r="2" spans="1:3" x14ac:dyDescent="0.3">
      <c r="A2" t="s">
        <v>2</v>
      </c>
      <c r="B2" t="s">
        <v>3</v>
      </c>
      <c r="C2" t="str">
        <f t="shared" ref="C2:C58" si="0">SUBSTITUTE(B2," ","-")&amp;"-"&amp;A2</f>
        <v>Australian-Dollar-AUD</v>
      </c>
    </row>
    <row r="3" spans="1:3" x14ac:dyDescent="0.3">
      <c r="A3" t="s">
        <v>4</v>
      </c>
      <c r="B3" t="s">
        <v>5</v>
      </c>
      <c r="C3" t="str">
        <f t="shared" si="0"/>
        <v>Bahraini-Dinar-BHD</v>
      </c>
    </row>
    <row r="4" spans="1:3" x14ac:dyDescent="0.3">
      <c r="A4" t="s">
        <v>6</v>
      </c>
      <c r="B4" t="s">
        <v>7</v>
      </c>
      <c r="C4" t="str">
        <f t="shared" si="0"/>
        <v>Barbadian-Dollar-BBD</v>
      </c>
    </row>
    <row r="5" spans="1:3" x14ac:dyDescent="0.3">
      <c r="A5" t="s">
        <v>8</v>
      </c>
      <c r="B5" t="s">
        <v>9</v>
      </c>
      <c r="C5" t="str">
        <f t="shared" si="0"/>
        <v>Brazilian-Real-BRL</v>
      </c>
    </row>
    <row r="6" spans="1:3" x14ac:dyDescent="0.3">
      <c r="A6" t="s">
        <v>10</v>
      </c>
      <c r="B6" t="s">
        <v>11</v>
      </c>
      <c r="C6" t="str">
        <f t="shared" si="0"/>
        <v>British-Pound-GBP</v>
      </c>
    </row>
    <row r="7" spans="1:3" x14ac:dyDescent="0.3">
      <c r="A7" t="s">
        <v>12</v>
      </c>
      <c r="B7" t="s">
        <v>13</v>
      </c>
      <c r="C7" t="str">
        <f t="shared" si="0"/>
        <v>Canadian-Dollar-CAD</v>
      </c>
    </row>
    <row r="8" spans="1:3" x14ac:dyDescent="0.3">
      <c r="A8" t="s">
        <v>14</v>
      </c>
      <c r="B8" t="s">
        <v>15</v>
      </c>
      <c r="C8" t="str">
        <f t="shared" si="0"/>
        <v>Central-African-CFA-franc-XAF</v>
      </c>
    </row>
    <row r="9" spans="1:3" x14ac:dyDescent="0.3">
      <c r="A9" t="s">
        <v>16</v>
      </c>
      <c r="B9" t="s">
        <v>17</v>
      </c>
      <c r="C9" t="str">
        <f t="shared" si="0"/>
        <v>Chilean-Peso-CLP</v>
      </c>
    </row>
    <row r="10" spans="1:3" x14ac:dyDescent="0.3">
      <c r="A10" t="s">
        <v>18</v>
      </c>
      <c r="B10" t="s">
        <v>19</v>
      </c>
      <c r="C10" t="str">
        <f t="shared" si="0"/>
        <v>Chinese-Yuan-CNY</v>
      </c>
    </row>
    <row r="11" spans="1:3" x14ac:dyDescent="0.3">
      <c r="A11" t="s">
        <v>20</v>
      </c>
      <c r="B11" t="s">
        <v>21</v>
      </c>
      <c r="C11" t="str">
        <f t="shared" si="0"/>
        <v>Cyprus-Pound-CYP</v>
      </c>
    </row>
    <row r="12" spans="1:3" x14ac:dyDescent="0.3">
      <c r="A12" t="s">
        <v>22</v>
      </c>
      <c r="B12" t="s">
        <v>23</v>
      </c>
      <c r="C12" t="str">
        <f t="shared" si="0"/>
        <v>Czech-Koruna-CZK</v>
      </c>
    </row>
    <row r="13" spans="1:3" x14ac:dyDescent="0.3">
      <c r="A13" t="s">
        <v>24</v>
      </c>
      <c r="B13" t="s">
        <v>25</v>
      </c>
      <c r="C13" t="str">
        <f t="shared" si="0"/>
        <v>Danish-Krone-DKK</v>
      </c>
    </row>
    <row r="14" spans="1:3" x14ac:dyDescent="0.3">
      <c r="A14" t="s">
        <v>26</v>
      </c>
      <c r="B14" t="s">
        <v>27</v>
      </c>
      <c r="C14" t="str">
        <f t="shared" si="0"/>
        <v>East-Caribbean-Dollar-XCD</v>
      </c>
    </row>
    <row r="15" spans="1:3" x14ac:dyDescent="0.3">
      <c r="A15" t="s">
        <v>28</v>
      </c>
      <c r="B15" t="s">
        <v>29</v>
      </c>
      <c r="C15" t="str">
        <f t="shared" si="0"/>
        <v>Egyptian-Pound-EGP</v>
      </c>
    </row>
    <row r="16" spans="1:3" x14ac:dyDescent="0.3">
      <c r="A16" t="s">
        <v>30</v>
      </c>
      <c r="B16" t="s">
        <v>31</v>
      </c>
      <c r="C16" t="str">
        <f t="shared" si="0"/>
        <v>Estonian-Kroon-EEK</v>
      </c>
    </row>
    <row r="17" spans="1:3" x14ac:dyDescent="0.3">
      <c r="A17" t="s">
        <v>32</v>
      </c>
      <c r="B17" t="s">
        <v>33</v>
      </c>
      <c r="C17" t="str">
        <f t="shared" si="0"/>
        <v>Euro-EUR</v>
      </c>
    </row>
    <row r="18" spans="1:3" x14ac:dyDescent="0.3">
      <c r="A18" t="s">
        <v>34</v>
      </c>
      <c r="B18" t="s">
        <v>35</v>
      </c>
      <c r="C18" t="str">
        <f t="shared" si="0"/>
        <v>Hong-Kong-Dollar-HKD</v>
      </c>
    </row>
    <row r="19" spans="1:3" x14ac:dyDescent="0.3">
      <c r="A19" t="s">
        <v>36</v>
      </c>
      <c r="B19" t="s">
        <v>37</v>
      </c>
      <c r="C19" t="str">
        <f t="shared" si="0"/>
        <v>Hungarian-Forint-HUF</v>
      </c>
    </row>
    <row r="20" spans="1:3" x14ac:dyDescent="0.3">
      <c r="A20" t="s">
        <v>38</v>
      </c>
      <c r="B20" t="s">
        <v>39</v>
      </c>
      <c r="C20" t="str">
        <f t="shared" si="0"/>
        <v>Icelandic-Krona-ISK</v>
      </c>
    </row>
    <row r="21" spans="1:3" x14ac:dyDescent="0.3">
      <c r="A21" t="s">
        <v>40</v>
      </c>
      <c r="B21" t="s">
        <v>41</v>
      </c>
      <c r="C21" t="str">
        <f t="shared" si="0"/>
        <v>Indian-Rupee-INR</v>
      </c>
    </row>
    <row r="22" spans="1:3" x14ac:dyDescent="0.3">
      <c r="A22" t="s">
        <v>42</v>
      </c>
      <c r="B22" t="s">
        <v>43</v>
      </c>
      <c r="C22" t="str">
        <f t="shared" si="0"/>
        <v>Indonesian-Rupiah-IDR</v>
      </c>
    </row>
    <row r="23" spans="1:3" x14ac:dyDescent="0.3">
      <c r="A23" t="s">
        <v>44</v>
      </c>
      <c r="B23" t="s">
        <v>45</v>
      </c>
      <c r="C23" t="str">
        <f t="shared" si="0"/>
        <v>Israeli-Sheqel-ILS</v>
      </c>
    </row>
    <row r="24" spans="1:3" x14ac:dyDescent="0.3">
      <c r="A24" t="s">
        <v>46</v>
      </c>
      <c r="B24" t="s">
        <v>47</v>
      </c>
      <c r="C24" t="str">
        <f t="shared" si="0"/>
        <v>Jamaican-Dollar-JMD</v>
      </c>
    </row>
    <row r="25" spans="1:3" x14ac:dyDescent="0.3">
      <c r="A25" t="s">
        <v>48</v>
      </c>
      <c r="B25" t="s">
        <v>49</v>
      </c>
      <c r="C25" t="str">
        <f t="shared" si="0"/>
        <v>Japanese-Yen-JPY</v>
      </c>
    </row>
    <row r="26" spans="1:3" x14ac:dyDescent="0.3">
      <c r="A26" t="s">
        <v>50</v>
      </c>
      <c r="B26" t="s">
        <v>51</v>
      </c>
      <c r="C26" t="str">
        <f t="shared" si="0"/>
        <v>Jordanian-Dinar-JOD</v>
      </c>
    </row>
    <row r="27" spans="1:3" x14ac:dyDescent="0.3">
      <c r="A27" t="s">
        <v>52</v>
      </c>
      <c r="B27" t="s">
        <v>53</v>
      </c>
      <c r="C27" t="str">
        <f t="shared" si="0"/>
        <v>Kenyan-Shilling-KES</v>
      </c>
    </row>
    <row r="28" spans="1:3" x14ac:dyDescent="0.3">
      <c r="A28" t="s">
        <v>54</v>
      </c>
      <c r="B28" t="s">
        <v>55</v>
      </c>
      <c r="C28" t="str">
        <f t="shared" si="0"/>
        <v>Latvian-Lats-LVL</v>
      </c>
    </row>
    <row r="29" spans="1:3" x14ac:dyDescent="0.3">
      <c r="A29" t="s">
        <v>56</v>
      </c>
      <c r="B29" t="s">
        <v>57</v>
      </c>
      <c r="C29" t="str">
        <f t="shared" si="0"/>
        <v>Lebanese-Pound-LBP</v>
      </c>
    </row>
    <row r="30" spans="1:3" x14ac:dyDescent="0.3">
      <c r="A30" t="s">
        <v>58</v>
      </c>
      <c r="B30" t="s">
        <v>59</v>
      </c>
      <c r="C30" t="str">
        <f t="shared" si="0"/>
        <v>Lithuanian-Litas-LTL</v>
      </c>
    </row>
    <row r="31" spans="1:3" x14ac:dyDescent="0.3">
      <c r="A31" t="s">
        <v>60</v>
      </c>
      <c r="B31" t="s">
        <v>61</v>
      </c>
      <c r="C31" t="str">
        <f t="shared" si="0"/>
        <v>Malaysian-Ringgit-MYR</v>
      </c>
    </row>
    <row r="32" spans="1:3" x14ac:dyDescent="0.3">
      <c r="A32" t="s">
        <v>62</v>
      </c>
      <c r="B32" t="s">
        <v>63</v>
      </c>
      <c r="C32" t="str">
        <f t="shared" si="0"/>
        <v>Mexican-Peso-MXN</v>
      </c>
    </row>
    <row r="33" spans="1:3" x14ac:dyDescent="0.3">
      <c r="A33" t="s">
        <v>64</v>
      </c>
      <c r="B33" t="s">
        <v>65</v>
      </c>
      <c r="C33" t="str">
        <f t="shared" si="0"/>
        <v>Moroccan-Dirham-MAD</v>
      </c>
    </row>
    <row r="34" spans="1:3" x14ac:dyDescent="0.3">
      <c r="A34" t="s">
        <v>66</v>
      </c>
      <c r="B34" t="s">
        <v>67</v>
      </c>
      <c r="C34" t="str">
        <f t="shared" si="0"/>
        <v>Namibian-Dollar-NAD</v>
      </c>
    </row>
    <row r="35" spans="1:3" x14ac:dyDescent="0.3">
      <c r="A35" t="s">
        <v>68</v>
      </c>
      <c r="B35" t="s">
        <v>69</v>
      </c>
      <c r="C35" t="str">
        <f t="shared" si="0"/>
        <v>Nepalese-Rupee-NPR</v>
      </c>
    </row>
    <row r="36" spans="1:3" x14ac:dyDescent="0.3">
      <c r="A36" t="s">
        <v>70</v>
      </c>
      <c r="B36" t="s">
        <v>71</v>
      </c>
      <c r="C36" t="str">
        <f t="shared" si="0"/>
        <v>New-Zealand-Dollar-NZD</v>
      </c>
    </row>
    <row r="37" spans="1:3" x14ac:dyDescent="0.3">
      <c r="A37" t="s">
        <v>72</v>
      </c>
      <c r="B37" t="s">
        <v>73</v>
      </c>
      <c r="C37" t="str">
        <f t="shared" si="0"/>
        <v>Norwegian-Krone-NOK</v>
      </c>
    </row>
    <row r="38" spans="1:3" x14ac:dyDescent="0.3">
      <c r="A38" t="s">
        <v>74</v>
      </c>
      <c r="B38" t="s">
        <v>75</v>
      </c>
      <c r="C38" t="str">
        <f t="shared" si="0"/>
        <v>Omani-Rial-OMR</v>
      </c>
    </row>
    <row r="39" spans="1:3" x14ac:dyDescent="0.3">
      <c r="A39" t="s">
        <v>76</v>
      </c>
      <c r="B39" t="s">
        <v>77</v>
      </c>
      <c r="C39" t="str">
        <f t="shared" si="0"/>
        <v>Pakistani-Rupee-PKR</v>
      </c>
    </row>
    <row r="40" spans="1:3" x14ac:dyDescent="0.3">
      <c r="A40" t="s">
        <v>78</v>
      </c>
      <c r="B40" t="s">
        <v>79</v>
      </c>
      <c r="C40" t="str">
        <f t="shared" si="0"/>
        <v>Panamanian-Balboa-PAB</v>
      </c>
    </row>
    <row r="41" spans="1:3" x14ac:dyDescent="0.3">
      <c r="A41" t="s">
        <v>80</v>
      </c>
      <c r="B41" t="s">
        <v>81</v>
      </c>
      <c r="C41" t="str">
        <f t="shared" si="0"/>
        <v>Philippine-Peso-PHP</v>
      </c>
    </row>
    <row r="42" spans="1:3" x14ac:dyDescent="0.3">
      <c r="A42" t="s">
        <v>82</v>
      </c>
      <c r="B42" t="s">
        <v>83</v>
      </c>
      <c r="C42" t="str">
        <f t="shared" si="0"/>
        <v>Polish-Zloty-PLN</v>
      </c>
    </row>
    <row r="43" spans="1:3" x14ac:dyDescent="0.3">
      <c r="A43" t="s">
        <v>84</v>
      </c>
      <c r="B43" t="s">
        <v>85</v>
      </c>
      <c r="C43" t="str">
        <f t="shared" si="0"/>
        <v>Qatari-Riyal-QAR</v>
      </c>
    </row>
    <row r="44" spans="1:3" x14ac:dyDescent="0.3">
      <c r="A44" t="s">
        <v>86</v>
      </c>
      <c r="B44" t="s">
        <v>87</v>
      </c>
      <c r="C44" t="str">
        <f t="shared" si="0"/>
        <v>Romanian-Leu-RON</v>
      </c>
    </row>
    <row r="45" spans="1:3" x14ac:dyDescent="0.3">
      <c r="A45" t="s">
        <v>88</v>
      </c>
      <c r="B45" t="s">
        <v>89</v>
      </c>
      <c r="C45" t="str">
        <f t="shared" si="0"/>
        <v>Russian-Rouble-RUB</v>
      </c>
    </row>
    <row r="46" spans="1:3" x14ac:dyDescent="0.3">
      <c r="A46" t="s">
        <v>90</v>
      </c>
      <c r="B46" t="s">
        <v>91</v>
      </c>
      <c r="C46" t="str">
        <f t="shared" si="0"/>
        <v>Saudi-Riyal-SAR</v>
      </c>
    </row>
    <row r="47" spans="1:3" x14ac:dyDescent="0.3">
      <c r="A47" t="s">
        <v>92</v>
      </c>
      <c r="B47" t="s">
        <v>93</v>
      </c>
      <c r="C47" t="str">
        <f t="shared" si="0"/>
        <v>Singapore-Dollar-SGD</v>
      </c>
    </row>
    <row r="48" spans="1:3" x14ac:dyDescent="0.3">
      <c r="A48" t="s">
        <v>94</v>
      </c>
      <c r="B48" t="s">
        <v>95</v>
      </c>
      <c r="C48" t="str">
        <f t="shared" si="0"/>
        <v>South-African-Rand-ZAR</v>
      </c>
    </row>
    <row r="49" spans="1:3" x14ac:dyDescent="0.3">
      <c r="A49" t="s">
        <v>96</v>
      </c>
      <c r="B49" t="s">
        <v>97</v>
      </c>
      <c r="C49" t="str">
        <f t="shared" si="0"/>
        <v>South-Korean-Won-KRW</v>
      </c>
    </row>
    <row r="50" spans="1:3" x14ac:dyDescent="0.3">
      <c r="A50" t="s">
        <v>98</v>
      </c>
      <c r="B50" t="s">
        <v>99</v>
      </c>
      <c r="C50" t="str">
        <f t="shared" si="0"/>
        <v>Sri-Lankan-Rupee-LKR</v>
      </c>
    </row>
    <row r="51" spans="1:3" x14ac:dyDescent="0.3">
      <c r="A51" t="s">
        <v>100</v>
      </c>
      <c r="B51" t="s">
        <v>101</v>
      </c>
      <c r="C51" t="str">
        <f t="shared" si="0"/>
        <v>Swedish-Krona-SEK</v>
      </c>
    </row>
    <row r="52" spans="1:3" x14ac:dyDescent="0.3">
      <c r="A52" t="s">
        <v>102</v>
      </c>
      <c r="B52" t="s">
        <v>103</v>
      </c>
      <c r="C52" t="str">
        <f t="shared" si="0"/>
        <v>Swiss-Franc-CHF</v>
      </c>
    </row>
    <row r="53" spans="1:3" x14ac:dyDescent="0.3">
      <c r="A53" t="s">
        <v>104</v>
      </c>
      <c r="B53" t="s">
        <v>105</v>
      </c>
      <c r="C53" t="str">
        <f t="shared" si="0"/>
        <v>Thai-Baht-THB</v>
      </c>
    </row>
    <row r="54" spans="1:3" x14ac:dyDescent="0.3">
      <c r="A54" t="s">
        <v>106</v>
      </c>
      <c r="B54" t="s">
        <v>107</v>
      </c>
      <c r="C54" t="str">
        <f t="shared" si="0"/>
        <v>Turkish-Lira-TRY</v>
      </c>
    </row>
    <row r="55" spans="1:3" x14ac:dyDescent="0.3">
      <c r="A55" t="s">
        <v>108</v>
      </c>
      <c r="B55" t="s">
        <v>109</v>
      </c>
      <c r="C55" t="str">
        <f t="shared" si="0"/>
        <v>United-Arab-Emirates-Dirham-AED</v>
      </c>
    </row>
    <row r="56" spans="1:3" x14ac:dyDescent="0.3">
      <c r="A56" t="s">
        <v>110</v>
      </c>
      <c r="B56" t="s">
        <v>111</v>
      </c>
      <c r="C56" t="str">
        <f t="shared" si="0"/>
        <v>US-Dollar-USD</v>
      </c>
    </row>
    <row r="57" spans="1:3" x14ac:dyDescent="0.3">
      <c r="A57" t="s">
        <v>112</v>
      </c>
      <c r="B57" t="s">
        <v>113</v>
      </c>
      <c r="C57" t="str">
        <f t="shared" si="0"/>
        <v>Venezuelan-bolivar-VEF</v>
      </c>
    </row>
    <row r="58" spans="1:3" x14ac:dyDescent="0.3">
      <c r="A58" t="s">
        <v>114</v>
      </c>
      <c r="B58" t="s">
        <v>115</v>
      </c>
      <c r="C58" t="str">
        <f t="shared" si="0"/>
        <v>West-African-CFA-franc-XOF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60</vt:i4>
      </vt:variant>
    </vt:vector>
  </HeadingPairs>
  <TitlesOfParts>
    <vt:vector size="65" baseType="lpstr">
      <vt:lpstr>Main</vt:lpstr>
      <vt:lpstr>today_rate</vt:lpstr>
      <vt:lpstr>history_days</vt:lpstr>
      <vt:lpstr>plot-15days</vt:lpstr>
      <vt:lpstr>Currencies</vt:lpstr>
      <vt:lpstr>Currencies!My_Query</vt:lpstr>
      <vt:lpstr>history_days!My_Query</vt:lpstr>
      <vt:lpstr>today_rate!My_Query</vt:lpstr>
      <vt:lpstr>history_days!My_Query_1</vt:lpstr>
      <vt:lpstr>today_rate!My_Query_1</vt:lpstr>
      <vt:lpstr>history_days!My_Query_10</vt:lpstr>
      <vt:lpstr>today_rate!My_Query_10</vt:lpstr>
      <vt:lpstr>history_days!My_Query_11</vt:lpstr>
      <vt:lpstr>today_rate!My_Query_11</vt:lpstr>
      <vt:lpstr>history_days!My_Query_12</vt:lpstr>
      <vt:lpstr>today_rate!My_Query_12</vt:lpstr>
      <vt:lpstr>history_days!My_Query_13</vt:lpstr>
      <vt:lpstr>today_rate!My_Query_13</vt:lpstr>
      <vt:lpstr>history_days!My_Query_14</vt:lpstr>
      <vt:lpstr>today_rate!My_Query_14</vt:lpstr>
      <vt:lpstr>history_days!My_Query_15</vt:lpstr>
      <vt:lpstr>today_rate!My_Query_15</vt:lpstr>
      <vt:lpstr>history_days!My_Query_16</vt:lpstr>
      <vt:lpstr>today_rate!My_Query_16</vt:lpstr>
      <vt:lpstr>history_days!My_Query_17</vt:lpstr>
      <vt:lpstr>history_days!My_Query_18</vt:lpstr>
      <vt:lpstr>history_days!My_Query_19</vt:lpstr>
      <vt:lpstr>history_days!My_Query_2</vt:lpstr>
      <vt:lpstr>today_rate!My_Query_2</vt:lpstr>
      <vt:lpstr>history_days!My_Query_20</vt:lpstr>
      <vt:lpstr>history_days!My_Query_21</vt:lpstr>
      <vt:lpstr>history_days!My_Query_22</vt:lpstr>
      <vt:lpstr>history_days!My_Query_23</vt:lpstr>
      <vt:lpstr>history_days!My_Query_24</vt:lpstr>
      <vt:lpstr>history_days!My_Query_25</vt:lpstr>
      <vt:lpstr>history_days!My_Query_26</vt:lpstr>
      <vt:lpstr>history_days!My_Query_27</vt:lpstr>
      <vt:lpstr>history_days!My_Query_28</vt:lpstr>
      <vt:lpstr>history_days!My_Query_29</vt:lpstr>
      <vt:lpstr>history_days!My_Query_3</vt:lpstr>
      <vt:lpstr>today_rate!My_Query_3</vt:lpstr>
      <vt:lpstr>history_days!My_Query_35</vt:lpstr>
      <vt:lpstr>history_days!My_Query_37</vt:lpstr>
      <vt:lpstr>history_days!My_Query_38</vt:lpstr>
      <vt:lpstr>history_days!My_Query_39</vt:lpstr>
      <vt:lpstr>history_days!My_Query_4</vt:lpstr>
      <vt:lpstr>today_rate!My_Query_4</vt:lpstr>
      <vt:lpstr>history_days!My_Query_40</vt:lpstr>
      <vt:lpstr>history_days!My_Query_42</vt:lpstr>
      <vt:lpstr>history_days!My_Query_43</vt:lpstr>
      <vt:lpstr>history_days!My_Query_44</vt:lpstr>
      <vt:lpstr>history_days!My_Query_45</vt:lpstr>
      <vt:lpstr>history_days!My_Query_46</vt:lpstr>
      <vt:lpstr>history_days!My_Query_47</vt:lpstr>
      <vt:lpstr>history_days!My_Query_48</vt:lpstr>
      <vt:lpstr>history_days!My_Query_5</vt:lpstr>
      <vt:lpstr>today_rate!My_Query_5</vt:lpstr>
      <vt:lpstr>history_days!My_Query_6</vt:lpstr>
      <vt:lpstr>today_rate!My_Query_6</vt:lpstr>
      <vt:lpstr>history_days!My_Query_7</vt:lpstr>
      <vt:lpstr>today_rate!My_Query_7</vt:lpstr>
      <vt:lpstr>history_days!My_Query_8</vt:lpstr>
      <vt:lpstr>today_rate!My_Query_8</vt:lpstr>
      <vt:lpstr>history_days!My_Query_9</vt:lpstr>
      <vt:lpstr>today_rate!My_Query_9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2024-02-19T13:32:33Z</dcterms:created>
  <dcterms:modified xsi:type="dcterms:W3CDTF">2024-02-20T02:18:50Z</dcterms:modified>
</cp:coreProperties>
</file>